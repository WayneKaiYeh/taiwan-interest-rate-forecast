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T328.yic\Desktop\"/>
    </mc:Choice>
  </mc:AlternateContent>
  <xr:revisionPtr revIDLastSave="0" documentId="13_ncr:1_{11B3E38D-8152-4035-BB1D-A444D3F87D01}" xr6:coauthVersionLast="47" xr6:coauthVersionMax="47" xr10:uidLastSave="{00000000-0000-0000-0000-000000000000}"/>
  <bookViews>
    <workbookView xWindow="28680" yWindow="-2130" windowWidth="29040" windowHeight="15720" xr2:uid="{00000000-000D-0000-FFFF-FFFF00000000}"/>
  </bookViews>
  <sheets>
    <sheet name="基準利率" sheetId="1" r:id="rId1"/>
    <sheet name="實質GDP YoY%" sheetId="3" r:id="rId2"/>
    <sheet name="Core CPI YoY%" sheetId="4" state="hidden" r:id="rId3"/>
    <sheet name="Quarterly Core CPI YoY%" sheetId="5" r:id="rId4"/>
    <sheet name="Taiwan Money Supply M2 YoY%" sheetId="6" state="hidden" r:id="rId5"/>
    <sheet name="Q - TW Money Supply M2 YoY% " sheetId="7" r:id="rId6"/>
    <sheet name="Formosa Housing Loan" sheetId="8" state="hidden" r:id="rId7"/>
    <sheet name="Formosa Housing Loan - Q " sheetId="9" r:id="rId8"/>
    <sheet name="Import Index" sheetId="10" r:id="rId9"/>
    <sheet name="實質利率 - Not Finish" sheetId="2" state="hidden" r:id="rId10"/>
  </sheets>
  <definedNames>
    <definedName name="_xlnm._FilterDatabase" localSheetId="2" hidden="1">'Core CPI YoY%'!$C$1:$C$315</definedName>
    <definedName name="_xlnm._FilterDatabase" localSheetId="7" hidden="1">'Formosa Housing Loan - Q '!$A$1:$B$101</definedName>
    <definedName name="_xlnm._FilterDatabase" localSheetId="5" hidden="1">'Q - TW Money Supply M2 YoY% '!$A$1:$B$105</definedName>
    <definedName name="_xlnm._FilterDatabase" localSheetId="3" hidden="1">'Quarterly Core CPI YoY%'!$B$1:$B$1048334</definedName>
    <definedName name="_xlnm._FilterDatabase" localSheetId="1" hidden="1">'實質GDP YoY%'!$A$1:$B$105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10" l="1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2" i="8"/>
  <c r="E298" i="8"/>
  <c r="E283" i="8"/>
  <c r="E253" i="8"/>
  <c r="E250" i="8"/>
  <c r="E247" i="8"/>
  <c r="E244" i="8"/>
  <c r="E223" i="8"/>
  <c r="E205" i="8"/>
  <c r="E193" i="8"/>
  <c r="E190" i="8"/>
  <c r="E187" i="8"/>
  <c r="E184" i="8"/>
  <c r="E163" i="8"/>
  <c r="E145" i="8"/>
  <c r="E133" i="8"/>
  <c r="E130" i="8"/>
  <c r="E127" i="8"/>
  <c r="E124" i="8"/>
  <c r="E103" i="8"/>
  <c r="E85" i="8"/>
  <c r="E76" i="8"/>
  <c r="E73" i="8"/>
  <c r="E70" i="8"/>
  <c r="E67" i="8"/>
  <c r="E64" i="8"/>
  <c r="E43" i="8"/>
  <c r="E25" i="8"/>
  <c r="E13" i="8"/>
  <c r="E10" i="8"/>
  <c r="E7" i="8"/>
  <c r="E4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E16" i="8" s="1"/>
  <c r="D19" i="8"/>
  <c r="E19" i="8" s="1"/>
  <c r="D20" i="8"/>
  <c r="D21" i="8"/>
  <c r="D22" i="8"/>
  <c r="E22" i="8" s="1"/>
  <c r="D23" i="8"/>
  <c r="D24" i="8"/>
  <c r="D25" i="8"/>
  <c r="D26" i="8"/>
  <c r="D27" i="8"/>
  <c r="D28" i="8"/>
  <c r="E28" i="8" s="1"/>
  <c r="D29" i="8"/>
  <c r="D30" i="8"/>
  <c r="D31" i="8"/>
  <c r="D32" i="8"/>
  <c r="D33" i="8"/>
  <c r="E31" i="8" s="1"/>
  <c r="D34" i="8"/>
  <c r="E34" i="8" s="1"/>
  <c r="D35" i="8"/>
  <c r="D36" i="8"/>
  <c r="D37" i="8"/>
  <c r="E37" i="8" s="1"/>
  <c r="D38" i="8"/>
  <c r="D39" i="8"/>
  <c r="D40" i="8"/>
  <c r="E40" i="8" s="1"/>
  <c r="D41" i="8"/>
  <c r="D42" i="8"/>
  <c r="D43" i="8"/>
  <c r="D44" i="8"/>
  <c r="D45" i="8"/>
  <c r="D46" i="8"/>
  <c r="D47" i="8"/>
  <c r="D48" i="8"/>
  <c r="E46" i="8" s="1"/>
  <c r="D49" i="8"/>
  <c r="E49" i="8" s="1"/>
  <c r="D50" i="8"/>
  <c r="D51" i="8"/>
  <c r="D52" i="8"/>
  <c r="D53" i="8"/>
  <c r="E52" i="8" s="1"/>
  <c r="D54" i="8"/>
  <c r="D55" i="8"/>
  <c r="E55" i="8" s="1"/>
  <c r="D56" i="8"/>
  <c r="D57" i="8"/>
  <c r="D58" i="8"/>
  <c r="E58" i="8" s="1"/>
  <c r="D59" i="8"/>
  <c r="D60" i="8"/>
  <c r="D61" i="8"/>
  <c r="E61" i="8" s="1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E79" i="8" s="1"/>
  <c r="D80" i="8"/>
  <c r="D81" i="8"/>
  <c r="D82" i="8"/>
  <c r="E82" i="8" s="1"/>
  <c r="D83" i="8"/>
  <c r="D84" i="8"/>
  <c r="D85" i="8"/>
  <c r="D86" i="8"/>
  <c r="D87" i="8"/>
  <c r="D88" i="8"/>
  <c r="E88" i="8" s="1"/>
  <c r="D89" i="8"/>
  <c r="D90" i="8"/>
  <c r="D91" i="8"/>
  <c r="D92" i="8"/>
  <c r="D93" i="8"/>
  <c r="E91" i="8" s="1"/>
  <c r="D94" i="8"/>
  <c r="E94" i="8" s="1"/>
  <c r="D95" i="8"/>
  <c r="D96" i="8"/>
  <c r="D97" i="8"/>
  <c r="E97" i="8" s="1"/>
  <c r="D98" i="8"/>
  <c r="D99" i="8"/>
  <c r="D100" i="8"/>
  <c r="E100" i="8" s="1"/>
  <c r="D101" i="8"/>
  <c r="D102" i="8"/>
  <c r="D103" i="8"/>
  <c r="D104" i="8"/>
  <c r="D105" i="8"/>
  <c r="D106" i="8"/>
  <c r="D107" i="8"/>
  <c r="D108" i="8"/>
  <c r="E106" i="8" s="1"/>
  <c r="D109" i="8"/>
  <c r="E109" i="8" s="1"/>
  <c r="D110" i="8"/>
  <c r="D111" i="8"/>
  <c r="D112" i="8"/>
  <c r="E112" i="8" s="1"/>
  <c r="D113" i="8"/>
  <c r="D114" i="8"/>
  <c r="D115" i="8"/>
  <c r="E115" i="8" s="1"/>
  <c r="D116" i="8"/>
  <c r="D117" i="8"/>
  <c r="D118" i="8"/>
  <c r="E118" i="8" s="1"/>
  <c r="D119" i="8"/>
  <c r="D120" i="8"/>
  <c r="D121" i="8"/>
  <c r="E121" i="8" s="1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E136" i="8" s="1"/>
  <c r="D139" i="8"/>
  <c r="E139" i="8" s="1"/>
  <c r="D140" i="8"/>
  <c r="D141" i="8"/>
  <c r="D142" i="8"/>
  <c r="E142" i="8" s="1"/>
  <c r="D143" i="8"/>
  <c r="D144" i="8"/>
  <c r="D145" i="8"/>
  <c r="D146" i="8"/>
  <c r="D147" i="8"/>
  <c r="D148" i="8"/>
  <c r="E148" i="8" s="1"/>
  <c r="D149" i="8"/>
  <c r="D150" i="8"/>
  <c r="D151" i="8"/>
  <c r="D152" i="8"/>
  <c r="D153" i="8"/>
  <c r="E151" i="8" s="1"/>
  <c r="D154" i="8"/>
  <c r="E154" i="8" s="1"/>
  <c r="D155" i="8"/>
  <c r="D156" i="8"/>
  <c r="D157" i="8"/>
  <c r="E157" i="8" s="1"/>
  <c r="D158" i="8"/>
  <c r="D159" i="8"/>
  <c r="D160" i="8"/>
  <c r="E160" i="8" s="1"/>
  <c r="D161" i="8"/>
  <c r="D162" i="8"/>
  <c r="D163" i="8"/>
  <c r="D164" i="8"/>
  <c r="D165" i="8"/>
  <c r="D166" i="8"/>
  <c r="D167" i="8"/>
  <c r="D168" i="8"/>
  <c r="E166" i="8" s="1"/>
  <c r="D169" i="8"/>
  <c r="E169" i="8" s="1"/>
  <c r="D170" i="8"/>
  <c r="D171" i="8"/>
  <c r="D172" i="8"/>
  <c r="E172" i="8" s="1"/>
  <c r="D173" i="8"/>
  <c r="D174" i="8"/>
  <c r="D175" i="8"/>
  <c r="E175" i="8" s="1"/>
  <c r="D176" i="8"/>
  <c r="D177" i="8"/>
  <c r="D178" i="8"/>
  <c r="E178" i="8" s="1"/>
  <c r="D179" i="8"/>
  <c r="D180" i="8"/>
  <c r="D181" i="8"/>
  <c r="E181" i="8" s="1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E196" i="8" s="1"/>
  <c r="D199" i="8"/>
  <c r="E199" i="8" s="1"/>
  <c r="D200" i="8"/>
  <c r="D201" i="8"/>
  <c r="D202" i="8"/>
  <c r="E202" i="8" s="1"/>
  <c r="D203" i="8"/>
  <c r="D204" i="8"/>
  <c r="D205" i="8"/>
  <c r="D206" i="8"/>
  <c r="D207" i="8"/>
  <c r="D208" i="8"/>
  <c r="E208" i="8" s="1"/>
  <c r="D209" i="8"/>
  <c r="D210" i="8"/>
  <c r="D211" i="8"/>
  <c r="D212" i="8"/>
  <c r="D213" i="8"/>
  <c r="E211" i="8" s="1"/>
  <c r="D214" i="8"/>
  <c r="E214" i="8" s="1"/>
  <c r="D215" i="8"/>
  <c r="D216" i="8"/>
  <c r="D217" i="8"/>
  <c r="E217" i="8" s="1"/>
  <c r="D218" i="8"/>
  <c r="D219" i="8"/>
  <c r="D220" i="8"/>
  <c r="E220" i="8" s="1"/>
  <c r="D221" i="8"/>
  <c r="D222" i="8"/>
  <c r="D223" i="8"/>
  <c r="D224" i="8"/>
  <c r="D225" i="8"/>
  <c r="D226" i="8"/>
  <c r="D227" i="8"/>
  <c r="D228" i="8"/>
  <c r="E226" i="8" s="1"/>
  <c r="D229" i="8"/>
  <c r="E229" i="8" s="1"/>
  <c r="D230" i="8"/>
  <c r="D231" i="8"/>
  <c r="D232" i="8"/>
  <c r="E232" i="8" s="1"/>
  <c r="D233" i="8"/>
  <c r="D234" i="8"/>
  <c r="D235" i="8"/>
  <c r="E235" i="8" s="1"/>
  <c r="D236" i="8"/>
  <c r="D237" i="8"/>
  <c r="D238" i="8"/>
  <c r="E238" i="8" s="1"/>
  <c r="D239" i="8"/>
  <c r="D240" i="8"/>
  <c r="D241" i="8"/>
  <c r="E241" i="8" s="1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E256" i="8" s="1"/>
  <c r="D259" i="8"/>
  <c r="E259" i="8" s="1"/>
  <c r="D260" i="8"/>
  <c r="D261" i="8"/>
  <c r="D262" i="8"/>
  <c r="E262" i="8" s="1"/>
  <c r="D263" i="8"/>
  <c r="D264" i="8"/>
  <c r="D265" i="8"/>
  <c r="D266" i="8"/>
  <c r="D267" i="8"/>
  <c r="E265" i="8" s="1"/>
  <c r="D268" i="8"/>
  <c r="E268" i="8" s="1"/>
  <c r="D269" i="8"/>
  <c r="D270" i="8"/>
  <c r="D271" i="8"/>
  <c r="D272" i="8"/>
  <c r="E271" i="8" s="1"/>
  <c r="D273" i="8"/>
  <c r="D274" i="8"/>
  <c r="E274" i="8" s="1"/>
  <c r="D275" i="8"/>
  <c r="D276" i="8"/>
  <c r="D277" i="8"/>
  <c r="E277" i="8" s="1"/>
  <c r="D278" i="8"/>
  <c r="D279" i="8"/>
  <c r="D280" i="8"/>
  <c r="E280" i="8" s="1"/>
  <c r="D281" i="8"/>
  <c r="D282" i="8"/>
  <c r="D283" i="8"/>
  <c r="D284" i="8"/>
  <c r="D285" i="8"/>
  <c r="D286" i="8"/>
  <c r="D287" i="8"/>
  <c r="D288" i="8"/>
  <c r="E286" i="8" s="1"/>
  <c r="D289" i="8"/>
  <c r="E289" i="8" s="1"/>
  <c r="D290" i="8"/>
  <c r="D291" i="8"/>
  <c r="D292" i="8"/>
  <c r="E292" i="8" s="1"/>
  <c r="D293" i="8"/>
  <c r="D294" i="8"/>
  <c r="D295" i="8"/>
  <c r="E295" i="8" s="1"/>
  <c r="D296" i="8"/>
  <c r="D297" i="8"/>
  <c r="D298" i="8"/>
  <c r="D299" i="8"/>
  <c r="D300" i="8"/>
  <c r="D301" i="8"/>
  <c r="E301" i="8" s="1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2" i="8"/>
  <c r="C313" i="6"/>
  <c r="C310" i="6"/>
  <c r="C307" i="6"/>
  <c r="C304" i="6"/>
  <c r="C301" i="6"/>
  <c r="C298" i="6"/>
  <c r="C295" i="6"/>
  <c r="C292" i="6"/>
  <c r="C289" i="6"/>
  <c r="C286" i="6"/>
  <c r="C283" i="6"/>
  <c r="C280" i="6"/>
  <c r="C277" i="6"/>
  <c r="C274" i="6"/>
  <c r="C271" i="6"/>
  <c r="C268" i="6"/>
  <c r="C265" i="6"/>
  <c r="C262" i="6"/>
  <c r="C259" i="6"/>
  <c r="C256" i="6"/>
  <c r="C253" i="6"/>
  <c r="C250" i="6"/>
  <c r="C247" i="6"/>
  <c r="C244" i="6"/>
  <c r="C241" i="6"/>
  <c r="C238" i="6"/>
  <c r="C235" i="6"/>
  <c r="C232" i="6"/>
  <c r="C229" i="6"/>
  <c r="C226" i="6"/>
  <c r="C223" i="6"/>
  <c r="C220" i="6"/>
  <c r="C217" i="6"/>
  <c r="C214" i="6"/>
  <c r="C211" i="6"/>
  <c r="C208" i="6"/>
  <c r="C205" i="6"/>
  <c r="C202" i="6"/>
  <c r="C199" i="6"/>
  <c r="C196" i="6"/>
  <c r="C193" i="6"/>
  <c r="C190" i="6"/>
  <c r="C187" i="6"/>
  <c r="C184" i="6"/>
  <c r="C181" i="6"/>
  <c r="C178" i="6"/>
  <c r="C175" i="6"/>
  <c r="C172" i="6"/>
  <c r="C169" i="6"/>
  <c r="C166" i="6"/>
  <c r="C163" i="6"/>
  <c r="C160" i="6"/>
  <c r="C157" i="6"/>
  <c r="C154" i="6"/>
  <c r="C151" i="6"/>
  <c r="C148" i="6"/>
  <c r="C145" i="6"/>
  <c r="C142" i="6"/>
  <c r="C139" i="6"/>
  <c r="C136" i="6"/>
  <c r="C133" i="6"/>
  <c r="C130" i="6"/>
  <c r="C127" i="6"/>
  <c r="C124" i="6"/>
  <c r="C121" i="6"/>
  <c r="C118" i="6"/>
  <c r="C115" i="6"/>
  <c r="C112" i="6"/>
  <c r="C109" i="6"/>
  <c r="C106" i="6"/>
  <c r="C103" i="6"/>
  <c r="C100" i="6"/>
  <c r="C97" i="6"/>
  <c r="C94" i="6"/>
  <c r="C91" i="6"/>
  <c r="C88" i="6"/>
  <c r="C85" i="6"/>
  <c r="C82" i="6"/>
  <c r="C79" i="6"/>
  <c r="C76" i="6"/>
  <c r="C73" i="6"/>
  <c r="C70" i="6"/>
  <c r="C67" i="6"/>
  <c r="C64" i="6"/>
  <c r="C61" i="6"/>
  <c r="C58" i="6"/>
  <c r="C55" i="6"/>
  <c r="C52" i="6"/>
  <c r="C49" i="6"/>
  <c r="C46" i="6"/>
  <c r="C43" i="6"/>
  <c r="C40" i="6"/>
  <c r="C37" i="6"/>
  <c r="C34" i="6"/>
  <c r="C31" i="6"/>
  <c r="C28" i="6"/>
  <c r="C25" i="6"/>
  <c r="C22" i="6"/>
  <c r="C10" i="6"/>
  <c r="C7" i="6"/>
  <c r="C19" i="6"/>
  <c r="C16" i="6"/>
  <c r="C13" i="6"/>
  <c r="C4" i="6"/>
  <c r="D311" i="4"/>
  <c r="D308" i="4"/>
  <c r="D305" i="4"/>
  <c r="D302" i="4"/>
  <c r="D299" i="4"/>
  <c r="D296" i="4"/>
  <c r="D293" i="4"/>
  <c r="D290" i="4"/>
  <c r="D287" i="4"/>
  <c r="D284" i="4"/>
  <c r="D281" i="4"/>
  <c r="D278" i="4"/>
  <c r="D275" i="4"/>
  <c r="D272" i="4"/>
  <c r="D269" i="4"/>
  <c r="D266" i="4"/>
  <c r="D263" i="4"/>
  <c r="D260" i="4"/>
  <c r="D257" i="4"/>
  <c r="D254" i="4"/>
  <c r="D251" i="4"/>
  <c r="D248" i="4"/>
  <c r="D245" i="4"/>
  <c r="D242" i="4"/>
  <c r="D239" i="4"/>
  <c r="D236" i="4"/>
  <c r="D233" i="4"/>
  <c r="D230" i="4"/>
  <c r="D227" i="4"/>
  <c r="D224" i="4"/>
  <c r="D221" i="4"/>
  <c r="D218" i="4"/>
  <c r="D215" i="4"/>
  <c r="D212" i="4"/>
  <c r="D209" i="4"/>
  <c r="D206" i="4"/>
  <c r="D203" i="4"/>
  <c r="D200" i="4"/>
  <c r="D197" i="4"/>
  <c r="D194" i="4"/>
  <c r="D191" i="4"/>
  <c r="D188" i="4"/>
  <c r="D185" i="4"/>
  <c r="D182" i="4"/>
  <c r="D179" i="4"/>
  <c r="D176" i="4"/>
  <c r="D173" i="4"/>
  <c r="D170" i="4"/>
  <c r="D167" i="4"/>
  <c r="D164" i="4"/>
  <c r="D161" i="4"/>
  <c r="D158" i="4"/>
  <c r="D155" i="4"/>
  <c r="D152" i="4"/>
  <c r="D149" i="4"/>
  <c r="D146" i="4"/>
  <c r="D143" i="4"/>
  <c r="D140" i="4"/>
  <c r="D137" i="4"/>
  <c r="D134" i="4"/>
  <c r="D131" i="4"/>
  <c r="D128" i="4"/>
  <c r="D125" i="4"/>
  <c r="D122" i="4"/>
  <c r="D119" i="4"/>
  <c r="D116" i="4"/>
  <c r="D113" i="4"/>
  <c r="D110" i="4"/>
  <c r="D107" i="4"/>
  <c r="D104" i="4"/>
  <c r="D101" i="4"/>
  <c r="D98" i="4"/>
  <c r="D95" i="4"/>
  <c r="D92" i="4"/>
  <c r="D89" i="4"/>
  <c r="D86" i="4"/>
  <c r="D83" i="4"/>
  <c r="D80" i="4"/>
  <c r="D77" i="4"/>
  <c r="D74" i="4"/>
  <c r="D71" i="4"/>
  <c r="D68" i="4"/>
  <c r="D65" i="4"/>
  <c r="D62" i="4"/>
  <c r="D59" i="4"/>
  <c r="D56" i="4"/>
  <c r="D53" i="4"/>
  <c r="D50" i="4"/>
  <c r="D47" i="4"/>
  <c r="D44" i="4"/>
  <c r="D41" i="4"/>
  <c r="D38" i="4"/>
  <c r="D35" i="4"/>
  <c r="D32" i="4"/>
  <c r="D29" i="4"/>
  <c r="D26" i="4"/>
  <c r="D23" i="4"/>
  <c r="D20" i="4"/>
  <c r="D17" i="4"/>
  <c r="D14" i="4"/>
  <c r="D11" i="4"/>
  <c r="D8" i="4"/>
  <c r="D5" i="4"/>
  <c r="D2" i="4"/>
  <c r="C281" i="2"/>
  <c r="C279" i="2"/>
  <c r="C274" i="2"/>
  <c r="C285" i="2"/>
  <c r="C283" i="2"/>
  <c r="C270" i="2"/>
  <c r="C266" i="2"/>
  <c r="C263" i="2"/>
  <c r="C261" i="2"/>
  <c r="C257" i="2"/>
  <c r="C253" i="2"/>
  <c r="C250" i="2"/>
  <c r="C246" i="2"/>
  <c r="C243" i="2"/>
  <c r="C240" i="2"/>
  <c r="C236" i="2"/>
  <c r="C232" i="2"/>
  <c r="C228" i="2"/>
  <c r="C224" i="2"/>
  <c r="C220" i="2"/>
  <c r="C216" i="2"/>
  <c r="C212" i="2"/>
  <c r="C208" i="2"/>
  <c r="C204" i="2"/>
  <c r="C200" i="2"/>
  <c r="C196" i="2"/>
  <c r="C192" i="2"/>
  <c r="C188" i="2"/>
  <c r="C184" i="2"/>
  <c r="C180" i="2"/>
  <c r="C176" i="2"/>
  <c r="C172" i="2"/>
  <c r="C168" i="2"/>
  <c r="C164" i="2"/>
  <c r="C161" i="2"/>
  <c r="C157" i="2"/>
  <c r="C153" i="2"/>
  <c r="C149" i="2"/>
  <c r="C145" i="2"/>
  <c r="C141" i="2"/>
  <c r="C137" i="2"/>
  <c r="C133" i="2"/>
  <c r="C129" i="2"/>
  <c r="C125" i="2"/>
  <c r="C121" i="2"/>
  <c r="C117" i="2"/>
  <c r="C113" i="2"/>
  <c r="C109" i="2"/>
  <c r="C105" i="2"/>
  <c r="C101" i="2"/>
  <c r="C97" i="2"/>
  <c r="C93" i="2"/>
  <c r="C89" i="2"/>
  <c r="C85" i="2"/>
  <c r="C81" i="2"/>
  <c r="C77" i="2"/>
  <c r="C73" i="2"/>
  <c r="C69" i="2"/>
  <c r="C65" i="2"/>
  <c r="C61" i="2"/>
  <c r="C57" i="2"/>
  <c r="C53" i="2"/>
  <c r="C49" i="2"/>
  <c r="C45" i="2"/>
  <c r="C41" i="2"/>
  <c r="C37" i="2"/>
  <c r="C33" i="2"/>
  <c r="C29" i="2"/>
  <c r="C25" i="2"/>
  <c r="C21" i="2"/>
  <c r="C17" i="2"/>
  <c r="C13" i="2"/>
  <c r="C9" i="2"/>
  <c r="C5" i="2"/>
</calcChain>
</file>

<file path=xl/sharedStrings.xml><?xml version="1.0" encoding="utf-8"?>
<sst xmlns="http://schemas.openxmlformats.org/spreadsheetml/2006/main" count="28" uniqueCount="15">
  <si>
    <t>Date</t>
  </si>
  <si>
    <t>台灣基準利率</t>
    <phoneticPr fontId="1" type="noConversion"/>
  </si>
  <si>
    <t>TAREDSC Index  (R1)</t>
  </si>
  <si>
    <t>Core CPI YoY</t>
    <phoneticPr fontId="1" type="noConversion"/>
  </si>
  <si>
    <t>GDP by Chain Value YoY%</t>
    <phoneticPr fontId="1" type="noConversion"/>
  </si>
  <si>
    <t>Core CPI YoY%</t>
    <phoneticPr fontId="1" type="noConversion"/>
  </si>
  <si>
    <t>Quarter Core CPI YoY%</t>
    <phoneticPr fontId="1" type="noConversion"/>
  </si>
  <si>
    <t>Taiwan Money Supply M2 YoY%</t>
    <phoneticPr fontId="1" type="noConversion"/>
  </si>
  <si>
    <t>Quarterly Taiwan Money Supply M2 YoY%</t>
    <phoneticPr fontId="1" type="noConversion"/>
  </si>
  <si>
    <t>TACLPURC Index  (L1)</t>
  </si>
  <si>
    <t>Taiwan Consumer Housing Loan YoY%</t>
    <phoneticPr fontId="1" type="noConversion"/>
  </si>
  <si>
    <t>Quarterly Taiwan Consumer Housing Loan YoY%</t>
    <phoneticPr fontId="1" type="noConversion"/>
  </si>
  <si>
    <t>Taiwan Consumer Housing Loan MoM%</t>
    <phoneticPr fontId="1" type="noConversion"/>
  </si>
  <si>
    <t xml:space="preserve">Import Price Index </t>
    <phoneticPr fontId="1" type="noConversion"/>
  </si>
  <si>
    <t>Import Price Index YoY%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</si>
</sst>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2" formatCode="0.0%"/>
    <numFmt numFmtId="186" formatCode="0.0000_);[Red]\(0.0000\)"/>
  </numFmts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9" fontId="0" fillId="0" borderId="0" xfId="1" applyFont="1" applyAlignment="1"/>
    <xf numFmtId="182" fontId="0" fillId="0" borderId="0" xfId="1" applyNumberFormat="1" applyFont="1" applyAlignment="1"/>
    <xf numFmtId="186" fontId="0" fillId="0" borderId="0" xfId="0" applyNumberFormat="1" applyAlignment="1">
      <alignment horizontal="center"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基準利率!$B$1:$B$2</c:f>
              <c:strCache>
                <c:ptCount val="2"/>
                <c:pt idx="0">
                  <c:v>台灣基準利率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基準利率!$A$3:$A$205</c:f>
              <c:numCache>
                <c:formatCode>m/d/yyyy</c:formatCode>
                <c:ptCount val="203"/>
                <c:pt idx="0">
                  <c:v>46191</c:v>
                </c:pt>
                <c:pt idx="1">
                  <c:v>46100</c:v>
                </c:pt>
                <c:pt idx="2">
                  <c:v>46009</c:v>
                </c:pt>
                <c:pt idx="3">
                  <c:v>45918</c:v>
                </c:pt>
                <c:pt idx="4">
                  <c:v>45827</c:v>
                </c:pt>
                <c:pt idx="5">
                  <c:v>45736</c:v>
                </c:pt>
                <c:pt idx="6">
                  <c:v>45645</c:v>
                </c:pt>
                <c:pt idx="7">
                  <c:v>45554</c:v>
                </c:pt>
                <c:pt idx="8">
                  <c:v>45456</c:v>
                </c:pt>
                <c:pt idx="9">
                  <c:v>45372</c:v>
                </c:pt>
                <c:pt idx="10">
                  <c:v>45274</c:v>
                </c:pt>
                <c:pt idx="11">
                  <c:v>45190</c:v>
                </c:pt>
                <c:pt idx="12">
                  <c:v>45092</c:v>
                </c:pt>
                <c:pt idx="13">
                  <c:v>45008</c:v>
                </c:pt>
                <c:pt idx="14">
                  <c:v>44910</c:v>
                </c:pt>
                <c:pt idx="15">
                  <c:v>44826</c:v>
                </c:pt>
                <c:pt idx="16">
                  <c:v>44728</c:v>
                </c:pt>
                <c:pt idx="17">
                  <c:v>44637</c:v>
                </c:pt>
                <c:pt idx="18">
                  <c:v>44546</c:v>
                </c:pt>
                <c:pt idx="19">
                  <c:v>44462</c:v>
                </c:pt>
                <c:pt idx="20">
                  <c:v>44364</c:v>
                </c:pt>
                <c:pt idx="21">
                  <c:v>44273</c:v>
                </c:pt>
                <c:pt idx="22">
                  <c:v>44182</c:v>
                </c:pt>
                <c:pt idx="23">
                  <c:v>44091</c:v>
                </c:pt>
                <c:pt idx="24">
                  <c:v>44000</c:v>
                </c:pt>
                <c:pt idx="25">
                  <c:v>43909</c:v>
                </c:pt>
                <c:pt idx="26">
                  <c:v>43818</c:v>
                </c:pt>
                <c:pt idx="27">
                  <c:v>43727</c:v>
                </c:pt>
                <c:pt idx="28">
                  <c:v>43636</c:v>
                </c:pt>
                <c:pt idx="29">
                  <c:v>43545</c:v>
                </c:pt>
                <c:pt idx="30">
                  <c:v>43454</c:v>
                </c:pt>
                <c:pt idx="31">
                  <c:v>43370</c:v>
                </c:pt>
                <c:pt idx="32">
                  <c:v>43272</c:v>
                </c:pt>
                <c:pt idx="33">
                  <c:v>43181</c:v>
                </c:pt>
                <c:pt idx="34">
                  <c:v>43090</c:v>
                </c:pt>
                <c:pt idx="35">
                  <c:v>42999</c:v>
                </c:pt>
                <c:pt idx="36">
                  <c:v>42908</c:v>
                </c:pt>
                <c:pt idx="37">
                  <c:v>42817</c:v>
                </c:pt>
                <c:pt idx="38">
                  <c:v>42726</c:v>
                </c:pt>
                <c:pt idx="39">
                  <c:v>42642</c:v>
                </c:pt>
                <c:pt idx="40">
                  <c:v>42551</c:v>
                </c:pt>
                <c:pt idx="41">
                  <c:v>42453</c:v>
                </c:pt>
                <c:pt idx="42">
                  <c:v>42355</c:v>
                </c:pt>
                <c:pt idx="43">
                  <c:v>42271</c:v>
                </c:pt>
                <c:pt idx="44">
                  <c:v>42180</c:v>
                </c:pt>
                <c:pt idx="45">
                  <c:v>42089</c:v>
                </c:pt>
                <c:pt idx="46">
                  <c:v>41991</c:v>
                </c:pt>
                <c:pt idx="47">
                  <c:v>41907</c:v>
                </c:pt>
                <c:pt idx="48">
                  <c:v>41816</c:v>
                </c:pt>
                <c:pt idx="49">
                  <c:v>41725</c:v>
                </c:pt>
                <c:pt idx="50">
                  <c:v>41634</c:v>
                </c:pt>
                <c:pt idx="51">
                  <c:v>41543</c:v>
                </c:pt>
                <c:pt idx="52">
                  <c:v>41452</c:v>
                </c:pt>
                <c:pt idx="53">
                  <c:v>41361</c:v>
                </c:pt>
                <c:pt idx="54">
                  <c:v>41262</c:v>
                </c:pt>
                <c:pt idx="55">
                  <c:v>41172</c:v>
                </c:pt>
                <c:pt idx="56">
                  <c:v>41081</c:v>
                </c:pt>
                <c:pt idx="57">
                  <c:v>40990</c:v>
                </c:pt>
                <c:pt idx="58">
                  <c:v>40906</c:v>
                </c:pt>
                <c:pt idx="59">
                  <c:v>40815</c:v>
                </c:pt>
                <c:pt idx="60">
                  <c:v>40724</c:v>
                </c:pt>
                <c:pt idx="61">
                  <c:v>40633</c:v>
                </c:pt>
                <c:pt idx="62">
                  <c:v>40542</c:v>
                </c:pt>
                <c:pt idx="63">
                  <c:v>40451</c:v>
                </c:pt>
                <c:pt idx="64">
                  <c:v>40353</c:v>
                </c:pt>
                <c:pt idx="65">
                  <c:v>40262</c:v>
                </c:pt>
                <c:pt idx="66">
                  <c:v>40219</c:v>
                </c:pt>
                <c:pt idx="67">
                  <c:v>40171</c:v>
                </c:pt>
                <c:pt idx="68">
                  <c:v>40080</c:v>
                </c:pt>
                <c:pt idx="69">
                  <c:v>39989</c:v>
                </c:pt>
                <c:pt idx="70">
                  <c:v>39939</c:v>
                </c:pt>
                <c:pt idx="71">
                  <c:v>39898</c:v>
                </c:pt>
                <c:pt idx="72">
                  <c:v>39862</c:v>
                </c:pt>
                <c:pt idx="73">
                  <c:v>39820</c:v>
                </c:pt>
                <c:pt idx="74">
                  <c:v>39794</c:v>
                </c:pt>
                <c:pt idx="75">
                  <c:v>39793</c:v>
                </c:pt>
                <c:pt idx="76">
                  <c:v>39762</c:v>
                </c:pt>
                <c:pt idx="77">
                  <c:v>39751</c:v>
                </c:pt>
                <c:pt idx="78">
                  <c:v>39730</c:v>
                </c:pt>
                <c:pt idx="79">
                  <c:v>39716</c:v>
                </c:pt>
                <c:pt idx="80">
                  <c:v>39626</c:v>
                </c:pt>
                <c:pt idx="81">
                  <c:v>39625</c:v>
                </c:pt>
                <c:pt idx="82">
                  <c:v>39535</c:v>
                </c:pt>
                <c:pt idx="83">
                  <c:v>39534</c:v>
                </c:pt>
                <c:pt idx="84">
                  <c:v>39437</c:v>
                </c:pt>
                <c:pt idx="85">
                  <c:v>39436</c:v>
                </c:pt>
                <c:pt idx="86">
                  <c:v>39346</c:v>
                </c:pt>
                <c:pt idx="87">
                  <c:v>39255</c:v>
                </c:pt>
                <c:pt idx="88">
                  <c:v>39171</c:v>
                </c:pt>
                <c:pt idx="89">
                  <c:v>39080</c:v>
                </c:pt>
                <c:pt idx="90">
                  <c:v>38989</c:v>
                </c:pt>
                <c:pt idx="91">
                  <c:v>38898</c:v>
                </c:pt>
                <c:pt idx="92">
                  <c:v>38807</c:v>
                </c:pt>
                <c:pt idx="93">
                  <c:v>38709</c:v>
                </c:pt>
                <c:pt idx="94">
                  <c:v>38611</c:v>
                </c:pt>
                <c:pt idx="95">
                  <c:v>38534</c:v>
                </c:pt>
                <c:pt idx="96">
                  <c:v>38436</c:v>
                </c:pt>
                <c:pt idx="97">
                  <c:v>38352</c:v>
                </c:pt>
                <c:pt idx="98">
                  <c:v>38261</c:v>
                </c:pt>
                <c:pt idx="99">
                  <c:v>38163</c:v>
                </c:pt>
                <c:pt idx="100">
                  <c:v>38075</c:v>
                </c:pt>
                <c:pt idx="101">
                  <c:v>37985</c:v>
                </c:pt>
                <c:pt idx="102">
                  <c:v>37890</c:v>
                </c:pt>
                <c:pt idx="103">
                  <c:v>37799</c:v>
                </c:pt>
                <c:pt idx="104">
                  <c:v>37701</c:v>
                </c:pt>
                <c:pt idx="105">
                  <c:v>37617</c:v>
                </c:pt>
                <c:pt idx="106">
                  <c:v>37572</c:v>
                </c:pt>
                <c:pt idx="107">
                  <c:v>37523</c:v>
                </c:pt>
                <c:pt idx="108">
                  <c:v>37435</c:v>
                </c:pt>
                <c:pt idx="109">
                  <c:v>37344</c:v>
                </c:pt>
                <c:pt idx="110">
                  <c:v>37253</c:v>
                </c:pt>
                <c:pt idx="111">
                  <c:v>37203</c:v>
                </c:pt>
                <c:pt idx="112">
                  <c:v>37168</c:v>
                </c:pt>
                <c:pt idx="113">
                  <c:v>37153</c:v>
                </c:pt>
                <c:pt idx="114">
                  <c:v>37123</c:v>
                </c:pt>
                <c:pt idx="115">
                  <c:v>37071</c:v>
                </c:pt>
                <c:pt idx="116">
                  <c:v>37029</c:v>
                </c:pt>
                <c:pt idx="117">
                  <c:v>37004</c:v>
                </c:pt>
                <c:pt idx="118">
                  <c:v>36980</c:v>
                </c:pt>
                <c:pt idx="119">
                  <c:v>36956</c:v>
                </c:pt>
                <c:pt idx="120">
                  <c:v>36924</c:v>
                </c:pt>
                <c:pt idx="121">
                  <c:v>36893</c:v>
                </c:pt>
                <c:pt idx="122">
                  <c:v>36889</c:v>
                </c:pt>
                <c:pt idx="123">
                  <c:v>36888</c:v>
                </c:pt>
                <c:pt idx="124">
                  <c:v>36887</c:v>
                </c:pt>
                <c:pt idx="125">
                  <c:v>36886</c:v>
                </c:pt>
                <c:pt idx="126">
                  <c:v>36882</c:v>
                </c:pt>
                <c:pt idx="127">
                  <c:v>36881</c:v>
                </c:pt>
                <c:pt idx="128">
                  <c:v>36880</c:v>
                </c:pt>
                <c:pt idx="129">
                  <c:v>36879</c:v>
                </c:pt>
                <c:pt idx="130">
                  <c:v>36878</c:v>
                </c:pt>
                <c:pt idx="131">
                  <c:v>36875</c:v>
                </c:pt>
                <c:pt idx="132">
                  <c:v>36874</c:v>
                </c:pt>
                <c:pt idx="133">
                  <c:v>36873</c:v>
                </c:pt>
                <c:pt idx="134">
                  <c:v>36872</c:v>
                </c:pt>
                <c:pt idx="135">
                  <c:v>36871</c:v>
                </c:pt>
                <c:pt idx="136">
                  <c:v>36868</c:v>
                </c:pt>
                <c:pt idx="137">
                  <c:v>36867</c:v>
                </c:pt>
                <c:pt idx="138">
                  <c:v>36866</c:v>
                </c:pt>
                <c:pt idx="139">
                  <c:v>36865</c:v>
                </c:pt>
                <c:pt idx="140">
                  <c:v>36864</c:v>
                </c:pt>
                <c:pt idx="141">
                  <c:v>36861</c:v>
                </c:pt>
                <c:pt idx="142">
                  <c:v>36859</c:v>
                </c:pt>
                <c:pt idx="143">
                  <c:v>36858</c:v>
                </c:pt>
                <c:pt idx="144">
                  <c:v>36857</c:v>
                </c:pt>
                <c:pt idx="145">
                  <c:v>36854</c:v>
                </c:pt>
                <c:pt idx="146">
                  <c:v>36853</c:v>
                </c:pt>
                <c:pt idx="147">
                  <c:v>36852</c:v>
                </c:pt>
                <c:pt idx="148">
                  <c:v>36851</c:v>
                </c:pt>
                <c:pt idx="149">
                  <c:v>36850</c:v>
                </c:pt>
                <c:pt idx="150">
                  <c:v>36847</c:v>
                </c:pt>
                <c:pt idx="151">
                  <c:v>36846</c:v>
                </c:pt>
                <c:pt idx="152">
                  <c:v>36845</c:v>
                </c:pt>
                <c:pt idx="153">
                  <c:v>36844</c:v>
                </c:pt>
                <c:pt idx="154">
                  <c:v>36843</c:v>
                </c:pt>
                <c:pt idx="155">
                  <c:v>36840</c:v>
                </c:pt>
                <c:pt idx="156">
                  <c:v>36839</c:v>
                </c:pt>
                <c:pt idx="157">
                  <c:v>36838</c:v>
                </c:pt>
                <c:pt idx="158">
                  <c:v>36837</c:v>
                </c:pt>
                <c:pt idx="159">
                  <c:v>36836</c:v>
                </c:pt>
                <c:pt idx="160">
                  <c:v>36833</c:v>
                </c:pt>
                <c:pt idx="161">
                  <c:v>36832</c:v>
                </c:pt>
                <c:pt idx="162">
                  <c:v>36831</c:v>
                </c:pt>
                <c:pt idx="163">
                  <c:v>36829</c:v>
                </c:pt>
                <c:pt idx="164">
                  <c:v>36826</c:v>
                </c:pt>
                <c:pt idx="165">
                  <c:v>36825</c:v>
                </c:pt>
                <c:pt idx="166">
                  <c:v>36824</c:v>
                </c:pt>
                <c:pt idx="167">
                  <c:v>36823</c:v>
                </c:pt>
                <c:pt idx="168">
                  <c:v>36822</c:v>
                </c:pt>
                <c:pt idx="169">
                  <c:v>36819</c:v>
                </c:pt>
                <c:pt idx="170">
                  <c:v>36818</c:v>
                </c:pt>
                <c:pt idx="171">
                  <c:v>36817</c:v>
                </c:pt>
                <c:pt idx="172">
                  <c:v>36816</c:v>
                </c:pt>
                <c:pt idx="173">
                  <c:v>36815</c:v>
                </c:pt>
                <c:pt idx="174">
                  <c:v>36812</c:v>
                </c:pt>
                <c:pt idx="175">
                  <c:v>36811</c:v>
                </c:pt>
                <c:pt idx="176">
                  <c:v>36810</c:v>
                </c:pt>
                <c:pt idx="177">
                  <c:v>36808</c:v>
                </c:pt>
                <c:pt idx="178">
                  <c:v>36805</c:v>
                </c:pt>
                <c:pt idx="179">
                  <c:v>36804</c:v>
                </c:pt>
                <c:pt idx="180">
                  <c:v>36803</c:v>
                </c:pt>
                <c:pt idx="181">
                  <c:v>36802</c:v>
                </c:pt>
                <c:pt idx="182">
                  <c:v>36801</c:v>
                </c:pt>
                <c:pt idx="183">
                  <c:v>36798</c:v>
                </c:pt>
                <c:pt idx="184">
                  <c:v>36797</c:v>
                </c:pt>
                <c:pt idx="185">
                  <c:v>36796</c:v>
                </c:pt>
                <c:pt idx="186">
                  <c:v>36795</c:v>
                </c:pt>
                <c:pt idx="187">
                  <c:v>36794</c:v>
                </c:pt>
                <c:pt idx="188">
                  <c:v>36791</c:v>
                </c:pt>
                <c:pt idx="189">
                  <c:v>36790</c:v>
                </c:pt>
                <c:pt idx="190">
                  <c:v>36789</c:v>
                </c:pt>
                <c:pt idx="191">
                  <c:v>36788</c:v>
                </c:pt>
                <c:pt idx="192">
                  <c:v>36787</c:v>
                </c:pt>
                <c:pt idx="193">
                  <c:v>36784</c:v>
                </c:pt>
                <c:pt idx="194">
                  <c:v>36783</c:v>
                </c:pt>
                <c:pt idx="195">
                  <c:v>36782</c:v>
                </c:pt>
                <c:pt idx="196">
                  <c:v>36780</c:v>
                </c:pt>
                <c:pt idx="197">
                  <c:v>36777</c:v>
                </c:pt>
                <c:pt idx="198">
                  <c:v>36776</c:v>
                </c:pt>
                <c:pt idx="199">
                  <c:v>36775</c:v>
                </c:pt>
                <c:pt idx="200">
                  <c:v>36774</c:v>
                </c:pt>
                <c:pt idx="201">
                  <c:v>36773</c:v>
                </c:pt>
                <c:pt idx="202">
                  <c:v>36770</c:v>
                </c:pt>
              </c:numCache>
            </c:numRef>
          </c:cat>
          <c:val>
            <c:numRef>
              <c:f>基準利率!$B$3:$B$205</c:f>
              <c:numCache>
                <c:formatCode>General</c:formatCode>
                <c:ptCount val="20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1.875</c:v>
                </c:pt>
                <c:pt idx="11">
                  <c:v>1.875</c:v>
                </c:pt>
                <c:pt idx="12">
                  <c:v>1.875</c:v>
                </c:pt>
                <c:pt idx="13">
                  <c:v>1.875</c:v>
                </c:pt>
                <c:pt idx="14">
                  <c:v>1.75</c:v>
                </c:pt>
                <c:pt idx="15">
                  <c:v>1.625</c:v>
                </c:pt>
                <c:pt idx="16">
                  <c:v>1.5</c:v>
                </c:pt>
                <c:pt idx="17">
                  <c:v>1.375</c:v>
                </c:pt>
                <c:pt idx="18">
                  <c:v>1.125</c:v>
                </c:pt>
                <c:pt idx="19">
                  <c:v>1.125</c:v>
                </c:pt>
                <c:pt idx="20">
                  <c:v>1.125</c:v>
                </c:pt>
                <c:pt idx="21">
                  <c:v>1.125</c:v>
                </c:pt>
                <c:pt idx="22">
                  <c:v>1.125</c:v>
                </c:pt>
                <c:pt idx="23">
                  <c:v>1.125</c:v>
                </c:pt>
                <c:pt idx="24">
                  <c:v>1.125</c:v>
                </c:pt>
                <c:pt idx="25">
                  <c:v>1.125</c:v>
                </c:pt>
                <c:pt idx="26">
                  <c:v>1.375</c:v>
                </c:pt>
                <c:pt idx="27">
                  <c:v>1.375</c:v>
                </c:pt>
                <c:pt idx="28">
                  <c:v>1.375</c:v>
                </c:pt>
                <c:pt idx="29">
                  <c:v>1.375</c:v>
                </c:pt>
                <c:pt idx="30">
                  <c:v>1.375</c:v>
                </c:pt>
                <c:pt idx="31">
                  <c:v>1.375</c:v>
                </c:pt>
                <c:pt idx="32">
                  <c:v>1.375</c:v>
                </c:pt>
                <c:pt idx="33">
                  <c:v>1.375</c:v>
                </c:pt>
                <c:pt idx="34">
                  <c:v>1.375</c:v>
                </c:pt>
                <c:pt idx="35">
                  <c:v>1.375</c:v>
                </c:pt>
                <c:pt idx="36">
                  <c:v>1.375</c:v>
                </c:pt>
                <c:pt idx="37">
                  <c:v>1.375</c:v>
                </c:pt>
                <c:pt idx="38">
                  <c:v>1.375</c:v>
                </c:pt>
                <c:pt idx="39">
                  <c:v>1.375</c:v>
                </c:pt>
                <c:pt idx="40">
                  <c:v>1.375</c:v>
                </c:pt>
                <c:pt idx="41">
                  <c:v>1.5</c:v>
                </c:pt>
                <c:pt idx="42">
                  <c:v>1.625</c:v>
                </c:pt>
                <c:pt idx="43">
                  <c:v>1.75</c:v>
                </c:pt>
                <c:pt idx="44">
                  <c:v>1.875</c:v>
                </c:pt>
                <c:pt idx="45">
                  <c:v>1.875</c:v>
                </c:pt>
                <c:pt idx="46">
                  <c:v>1.875</c:v>
                </c:pt>
                <c:pt idx="47">
                  <c:v>1.875</c:v>
                </c:pt>
                <c:pt idx="48">
                  <c:v>1.875</c:v>
                </c:pt>
                <c:pt idx="49">
                  <c:v>1.875</c:v>
                </c:pt>
                <c:pt idx="50">
                  <c:v>1.875</c:v>
                </c:pt>
                <c:pt idx="51">
                  <c:v>1.875</c:v>
                </c:pt>
                <c:pt idx="52">
                  <c:v>1.875</c:v>
                </c:pt>
                <c:pt idx="53">
                  <c:v>1.875</c:v>
                </c:pt>
                <c:pt idx="54">
                  <c:v>1.875</c:v>
                </c:pt>
                <c:pt idx="55">
                  <c:v>1.875</c:v>
                </c:pt>
                <c:pt idx="56">
                  <c:v>1.875</c:v>
                </c:pt>
                <c:pt idx="57">
                  <c:v>1.875</c:v>
                </c:pt>
                <c:pt idx="58">
                  <c:v>1.875</c:v>
                </c:pt>
                <c:pt idx="59">
                  <c:v>1.875</c:v>
                </c:pt>
                <c:pt idx="60">
                  <c:v>1.875</c:v>
                </c:pt>
                <c:pt idx="61">
                  <c:v>1.75</c:v>
                </c:pt>
                <c:pt idx="62">
                  <c:v>1.625</c:v>
                </c:pt>
                <c:pt idx="63">
                  <c:v>1.5</c:v>
                </c:pt>
                <c:pt idx="64">
                  <c:v>1.375</c:v>
                </c:pt>
                <c:pt idx="65">
                  <c:v>1.25</c:v>
                </c:pt>
                <c:pt idx="66">
                  <c:v>1.25</c:v>
                </c:pt>
                <c:pt idx="67">
                  <c:v>1.25</c:v>
                </c:pt>
                <c:pt idx="68">
                  <c:v>1.25</c:v>
                </c:pt>
                <c:pt idx="69">
                  <c:v>1.25</c:v>
                </c:pt>
                <c:pt idx="70">
                  <c:v>1.25</c:v>
                </c:pt>
                <c:pt idx="71">
                  <c:v>1.25</c:v>
                </c:pt>
                <c:pt idx="72">
                  <c:v>1.25</c:v>
                </c:pt>
                <c:pt idx="73">
                  <c:v>1.5</c:v>
                </c:pt>
                <c:pt idx="74">
                  <c:v>2</c:v>
                </c:pt>
                <c:pt idx="75">
                  <c:v>2</c:v>
                </c:pt>
                <c:pt idx="76">
                  <c:v>2.75</c:v>
                </c:pt>
                <c:pt idx="77">
                  <c:v>3</c:v>
                </c:pt>
                <c:pt idx="78">
                  <c:v>3.25</c:v>
                </c:pt>
                <c:pt idx="79">
                  <c:v>3.5</c:v>
                </c:pt>
                <c:pt idx="80">
                  <c:v>3.625</c:v>
                </c:pt>
                <c:pt idx="81">
                  <c:v>3.625</c:v>
                </c:pt>
                <c:pt idx="82">
                  <c:v>3.5</c:v>
                </c:pt>
                <c:pt idx="83">
                  <c:v>3.5</c:v>
                </c:pt>
                <c:pt idx="84">
                  <c:v>3.375</c:v>
                </c:pt>
                <c:pt idx="85">
                  <c:v>3.375</c:v>
                </c:pt>
                <c:pt idx="86">
                  <c:v>3.25</c:v>
                </c:pt>
                <c:pt idx="87">
                  <c:v>3.125</c:v>
                </c:pt>
                <c:pt idx="88">
                  <c:v>2.875</c:v>
                </c:pt>
                <c:pt idx="89">
                  <c:v>2.75</c:v>
                </c:pt>
                <c:pt idx="90">
                  <c:v>2.625</c:v>
                </c:pt>
                <c:pt idx="91">
                  <c:v>2.5</c:v>
                </c:pt>
                <c:pt idx="92">
                  <c:v>2.375</c:v>
                </c:pt>
                <c:pt idx="93">
                  <c:v>2.25</c:v>
                </c:pt>
                <c:pt idx="94">
                  <c:v>2.125</c:v>
                </c:pt>
                <c:pt idx="95">
                  <c:v>2</c:v>
                </c:pt>
                <c:pt idx="96">
                  <c:v>1.875</c:v>
                </c:pt>
                <c:pt idx="97">
                  <c:v>1.75</c:v>
                </c:pt>
                <c:pt idx="98">
                  <c:v>1.625</c:v>
                </c:pt>
                <c:pt idx="99">
                  <c:v>1.375</c:v>
                </c:pt>
                <c:pt idx="100">
                  <c:v>1.375</c:v>
                </c:pt>
                <c:pt idx="101">
                  <c:v>1.375</c:v>
                </c:pt>
                <c:pt idx="102">
                  <c:v>1.375</c:v>
                </c:pt>
                <c:pt idx="103">
                  <c:v>1.375</c:v>
                </c:pt>
                <c:pt idx="104">
                  <c:v>1.625</c:v>
                </c:pt>
                <c:pt idx="105">
                  <c:v>1.625</c:v>
                </c:pt>
                <c:pt idx="106">
                  <c:v>1.625</c:v>
                </c:pt>
                <c:pt idx="107">
                  <c:v>1.875</c:v>
                </c:pt>
                <c:pt idx="108">
                  <c:v>1.875</c:v>
                </c:pt>
                <c:pt idx="109">
                  <c:v>2.125</c:v>
                </c:pt>
                <c:pt idx="110">
                  <c:v>2.125</c:v>
                </c:pt>
                <c:pt idx="111">
                  <c:v>2.25</c:v>
                </c:pt>
                <c:pt idx="112">
                  <c:v>2.5</c:v>
                </c:pt>
                <c:pt idx="113">
                  <c:v>2.75</c:v>
                </c:pt>
                <c:pt idx="114">
                  <c:v>3.25</c:v>
                </c:pt>
                <c:pt idx="115">
                  <c:v>3.5</c:v>
                </c:pt>
                <c:pt idx="116">
                  <c:v>3.75</c:v>
                </c:pt>
                <c:pt idx="117">
                  <c:v>4</c:v>
                </c:pt>
                <c:pt idx="118">
                  <c:v>4.125</c:v>
                </c:pt>
                <c:pt idx="119">
                  <c:v>4.25</c:v>
                </c:pt>
                <c:pt idx="120">
                  <c:v>4.375</c:v>
                </c:pt>
                <c:pt idx="121">
                  <c:v>4.625</c:v>
                </c:pt>
                <c:pt idx="122">
                  <c:v>4.625</c:v>
                </c:pt>
                <c:pt idx="123">
                  <c:v>4.625</c:v>
                </c:pt>
                <c:pt idx="124">
                  <c:v>4.75</c:v>
                </c:pt>
                <c:pt idx="125">
                  <c:v>4.75</c:v>
                </c:pt>
                <c:pt idx="126">
                  <c:v>4.75</c:v>
                </c:pt>
                <c:pt idx="127">
                  <c:v>4.75</c:v>
                </c:pt>
                <c:pt idx="128">
                  <c:v>4.75</c:v>
                </c:pt>
                <c:pt idx="129">
                  <c:v>4.75</c:v>
                </c:pt>
                <c:pt idx="130">
                  <c:v>4.75</c:v>
                </c:pt>
                <c:pt idx="131">
                  <c:v>4.75</c:v>
                </c:pt>
                <c:pt idx="132">
                  <c:v>4.75</c:v>
                </c:pt>
                <c:pt idx="133">
                  <c:v>4.75</c:v>
                </c:pt>
                <c:pt idx="134">
                  <c:v>4.75</c:v>
                </c:pt>
                <c:pt idx="135">
                  <c:v>4.75</c:v>
                </c:pt>
                <c:pt idx="136">
                  <c:v>4.75</c:v>
                </c:pt>
                <c:pt idx="137">
                  <c:v>4.75</c:v>
                </c:pt>
                <c:pt idx="138">
                  <c:v>4.75</c:v>
                </c:pt>
                <c:pt idx="139">
                  <c:v>4.75</c:v>
                </c:pt>
                <c:pt idx="140">
                  <c:v>4.75</c:v>
                </c:pt>
                <c:pt idx="141">
                  <c:v>4.75</c:v>
                </c:pt>
                <c:pt idx="142">
                  <c:v>4.75</c:v>
                </c:pt>
                <c:pt idx="143">
                  <c:v>4.75</c:v>
                </c:pt>
                <c:pt idx="144">
                  <c:v>4.75</c:v>
                </c:pt>
                <c:pt idx="145">
                  <c:v>4.75</c:v>
                </c:pt>
                <c:pt idx="146">
                  <c:v>4.75</c:v>
                </c:pt>
                <c:pt idx="147">
                  <c:v>4.75</c:v>
                </c:pt>
                <c:pt idx="148">
                  <c:v>4.75</c:v>
                </c:pt>
                <c:pt idx="149">
                  <c:v>4.75</c:v>
                </c:pt>
                <c:pt idx="150">
                  <c:v>4.75</c:v>
                </c:pt>
                <c:pt idx="151">
                  <c:v>4.75</c:v>
                </c:pt>
                <c:pt idx="152">
                  <c:v>4.75</c:v>
                </c:pt>
                <c:pt idx="153">
                  <c:v>4.75</c:v>
                </c:pt>
                <c:pt idx="154">
                  <c:v>4.75</c:v>
                </c:pt>
                <c:pt idx="155">
                  <c:v>4.75</c:v>
                </c:pt>
                <c:pt idx="156">
                  <c:v>4.75</c:v>
                </c:pt>
                <c:pt idx="157">
                  <c:v>4.75</c:v>
                </c:pt>
                <c:pt idx="158">
                  <c:v>4.75</c:v>
                </c:pt>
                <c:pt idx="159">
                  <c:v>4.75</c:v>
                </c:pt>
                <c:pt idx="160">
                  <c:v>4.75</c:v>
                </c:pt>
                <c:pt idx="161">
                  <c:v>4.75</c:v>
                </c:pt>
                <c:pt idx="162">
                  <c:v>4.75</c:v>
                </c:pt>
                <c:pt idx="163">
                  <c:v>4.75</c:v>
                </c:pt>
                <c:pt idx="164">
                  <c:v>4.75</c:v>
                </c:pt>
                <c:pt idx="165">
                  <c:v>4.75</c:v>
                </c:pt>
                <c:pt idx="166">
                  <c:v>4.75</c:v>
                </c:pt>
                <c:pt idx="167">
                  <c:v>4.75</c:v>
                </c:pt>
                <c:pt idx="168">
                  <c:v>4.75</c:v>
                </c:pt>
                <c:pt idx="169">
                  <c:v>4.75</c:v>
                </c:pt>
                <c:pt idx="170">
                  <c:v>4.75</c:v>
                </c:pt>
                <c:pt idx="171">
                  <c:v>4.75</c:v>
                </c:pt>
                <c:pt idx="172">
                  <c:v>4.75</c:v>
                </c:pt>
                <c:pt idx="173">
                  <c:v>4.75</c:v>
                </c:pt>
                <c:pt idx="174">
                  <c:v>4.75</c:v>
                </c:pt>
                <c:pt idx="175">
                  <c:v>4.75</c:v>
                </c:pt>
                <c:pt idx="176">
                  <c:v>4.75</c:v>
                </c:pt>
                <c:pt idx="177">
                  <c:v>4.75</c:v>
                </c:pt>
                <c:pt idx="178">
                  <c:v>4.75</c:v>
                </c:pt>
                <c:pt idx="179">
                  <c:v>4.75</c:v>
                </c:pt>
                <c:pt idx="180">
                  <c:v>4.75</c:v>
                </c:pt>
                <c:pt idx="181">
                  <c:v>4.75</c:v>
                </c:pt>
                <c:pt idx="182">
                  <c:v>4.75</c:v>
                </c:pt>
                <c:pt idx="183">
                  <c:v>4.75</c:v>
                </c:pt>
                <c:pt idx="184">
                  <c:v>4.75</c:v>
                </c:pt>
                <c:pt idx="185">
                  <c:v>4.75</c:v>
                </c:pt>
                <c:pt idx="186">
                  <c:v>4.75</c:v>
                </c:pt>
                <c:pt idx="187">
                  <c:v>4.75</c:v>
                </c:pt>
                <c:pt idx="188">
                  <c:v>4.75</c:v>
                </c:pt>
                <c:pt idx="189">
                  <c:v>4.75</c:v>
                </c:pt>
                <c:pt idx="190">
                  <c:v>4.75</c:v>
                </c:pt>
                <c:pt idx="191">
                  <c:v>4.75</c:v>
                </c:pt>
                <c:pt idx="192">
                  <c:v>4.75</c:v>
                </c:pt>
                <c:pt idx="193">
                  <c:v>4.75</c:v>
                </c:pt>
                <c:pt idx="194">
                  <c:v>4.75</c:v>
                </c:pt>
                <c:pt idx="195">
                  <c:v>4.75</c:v>
                </c:pt>
                <c:pt idx="196">
                  <c:v>4.75</c:v>
                </c:pt>
                <c:pt idx="197">
                  <c:v>4.75</c:v>
                </c:pt>
                <c:pt idx="198">
                  <c:v>4.75</c:v>
                </c:pt>
                <c:pt idx="199">
                  <c:v>4.75</c:v>
                </c:pt>
                <c:pt idx="200">
                  <c:v>4.75</c:v>
                </c:pt>
                <c:pt idx="201">
                  <c:v>4.75</c:v>
                </c:pt>
                <c:pt idx="202">
                  <c:v>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C8-4BEB-A69D-19D84BCE9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0735040"/>
        <c:axId val="1030745856"/>
      </c:lineChart>
      <c:dateAx>
        <c:axId val="10307350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30745856"/>
        <c:crosses val="autoZero"/>
        <c:auto val="1"/>
        <c:lblOffset val="100"/>
        <c:baseTimeUnit val="days"/>
      </c:dateAx>
      <c:valAx>
        <c:axId val="103074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3073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'Formosa Housing Loan'!$B$1</c:f>
              <c:strCache>
                <c:ptCount val="1"/>
                <c:pt idx="0">
                  <c:v>TACLPURC Index  (L1)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'Formosa Housing Loan'!$A$2:$A$316</c:f>
              <c:numCache>
                <c:formatCode>m/d/yyyy</c:formatCode>
                <c:ptCount val="315"/>
                <c:pt idx="0">
                  <c:v>46234</c:v>
                </c:pt>
                <c:pt idx="1">
                  <c:v>46203</c:v>
                </c:pt>
                <c:pt idx="2">
                  <c:v>46173</c:v>
                </c:pt>
                <c:pt idx="3">
                  <c:v>46142</c:v>
                </c:pt>
                <c:pt idx="4">
                  <c:v>46112</c:v>
                </c:pt>
                <c:pt idx="5">
                  <c:v>46081</c:v>
                </c:pt>
                <c:pt idx="6">
                  <c:v>46053</c:v>
                </c:pt>
                <c:pt idx="7">
                  <c:v>46022</c:v>
                </c:pt>
                <c:pt idx="8">
                  <c:v>45991</c:v>
                </c:pt>
                <c:pt idx="9">
                  <c:v>45961</c:v>
                </c:pt>
                <c:pt idx="10">
                  <c:v>45930</c:v>
                </c:pt>
                <c:pt idx="11">
                  <c:v>45900</c:v>
                </c:pt>
                <c:pt idx="12">
                  <c:v>45869</c:v>
                </c:pt>
                <c:pt idx="13">
                  <c:v>45838</c:v>
                </c:pt>
                <c:pt idx="14">
                  <c:v>45808</c:v>
                </c:pt>
                <c:pt idx="15">
                  <c:v>45777</c:v>
                </c:pt>
                <c:pt idx="16">
                  <c:v>45747</c:v>
                </c:pt>
                <c:pt idx="17">
                  <c:v>45716</c:v>
                </c:pt>
                <c:pt idx="18">
                  <c:v>45688</c:v>
                </c:pt>
                <c:pt idx="19">
                  <c:v>45657</c:v>
                </c:pt>
                <c:pt idx="20">
                  <c:v>45626</c:v>
                </c:pt>
                <c:pt idx="21">
                  <c:v>45596</c:v>
                </c:pt>
                <c:pt idx="22">
                  <c:v>45565</c:v>
                </c:pt>
                <c:pt idx="23">
                  <c:v>45535</c:v>
                </c:pt>
                <c:pt idx="24">
                  <c:v>45504</c:v>
                </c:pt>
                <c:pt idx="25">
                  <c:v>45473</c:v>
                </c:pt>
                <c:pt idx="26">
                  <c:v>45443</c:v>
                </c:pt>
                <c:pt idx="27">
                  <c:v>45412</c:v>
                </c:pt>
                <c:pt idx="28">
                  <c:v>45382</c:v>
                </c:pt>
                <c:pt idx="29">
                  <c:v>45351</c:v>
                </c:pt>
                <c:pt idx="30">
                  <c:v>45322</c:v>
                </c:pt>
                <c:pt idx="31">
                  <c:v>45291</c:v>
                </c:pt>
                <c:pt idx="32">
                  <c:v>45260</c:v>
                </c:pt>
                <c:pt idx="33">
                  <c:v>45230</c:v>
                </c:pt>
                <c:pt idx="34">
                  <c:v>45199</c:v>
                </c:pt>
                <c:pt idx="35">
                  <c:v>45169</c:v>
                </c:pt>
                <c:pt idx="36">
                  <c:v>45138</c:v>
                </c:pt>
                <c:pt idx="37">
                  <c:v>45107</c:v>
                </c:pt>
                <c:pt idx="38">
                  <c:v>45077</c:v>
                </c:pt>
                <c:pt idx="39">
                  <c:v>45046</c:v>
                </c:pt>
                <c:pt idx="40">
                  <c:v>45016</c:v>
                </c:pt>
                <c:pt idx="41">
                  <c:v>44985</c:v>
                </c:pt>
                <c:pt idx="42">
                  <c:v>44957</c:v>
                </c:pt>
                <c:pt idx="43">
                  <c:v>44926</c:v>
                </c:pt>
                <c:pt idx="44">
                  <c:v>44895</c:v>
                </c:pt>
                <c:pt idx="45">
                  <c:v>44865</c:v>
                </c:pt>
                <c:pt idx="46">
                  <c:v>44834</c:v>
                </c:pt>
                <c:pt idx="47">
                  <c:v>44804</c:v>
                </c:pt>
                <c:pt idx="48">
                  <c:v>44773</c:v>
                </c:pt>
                <c:pt idx="49">
                  <c:v>44742</c:v>
                </c:pt>
                <c:pt idx="50">
                  <c:v>44712</c:v>
                </c:pt>
                <c:pt idx="51">
                  <c:v>44681</c:v>
                </c:pt>
                <c:pt idx="52">
                  <c:v>44651</c:v>
                </c:pt>
                <c:pt idx="53">
                  <c:v>44620</c:v>
                </c:pt>
                <c:pt idx="54">
                  <c:v>44592</c:v>
                </c:pt>
                <c:pt idx="55">
                  <c:v>44561</c:v>
                </c:pt>
                <c:pt idx="56">
                  <c:v>44530</c:v>
                </c:pt>
                <c:pt idx="57">
                  <c:v>44500</c:v>
                </c:pt>
                <c:pt idx="58">
                  <c:v>44469</c:v>
                </c:pt>
                <c:pt idx="59">
                  <c:v>44439</c:v>
                </c:pt>
                <c:pt idx="60">
                  <c:v>44408</c:v>
                </c:pt>
                <c:pt idx="61">
                  <c:v>44377</c:v>
                </c:pt>
                <c:pt idx="62">
                  <c:v>44347</c:v>
                </c:pt>
                <c:pt idx="63">
                  <c:v>44316</c:v>
                </c:pt>
                <c:pt idx="64">
                  <c:v>44286</c:v>
                </c:pt>
                <c:pt idx="65">
                  <c:v>44255</c:v>
                </c:pt>
                <c:pt idx="66">
                  <c:v>44227</c:v>
                </c:pt>
                <c:pt idx="67">
                  <c:v>44196</c:v>
                </c:pt>
                <c:pt idx="68">
                  <c:v>44165</c:v>
                </c:pt>
                <c:pt idx="69">
                  <c:v>44135</c:v>
                </c:pt>
                <c:pt idx="70">
                  <c:v>44104</c:v>
                </c:pt>
                <c:pt idx="71">
                  <c:v>44074</c:v>
                </c:pt>
                <c:pt idx="72">
                  <c:v>44043</c:v>
                </c:pt>
                <c:pt idx="73">
                  <c:v>44012</c:v>
                </c:pt>
                <c:pt idx="74">
                  <c:v>43982</c:v>
                </c:pt>
                <c:pt idx="75">
                  <c:v>43951</c:v>
                </c:pt>
                <c:pt idx="76">
                  <c:v>43921</c:v>
                </c:pt>
                <c:pt idx="77">
                  <c:v>43890</c:v>
                </c:pt>
                <c:pt idx="78">
                  <c:v>43861</c:v>
                </c:pt>
                <c:pt idx="79">
                  <c:v>43830</c:v>
                </c:pt>
                <c:pt idx="80">
                  <c:v>43799</c:v>
                </c:pt>
                <c:pt idx="81">
                  <c:v>43769</c:v>
                </c:pt>
                <c:pt idx="82">
                  <c:v>43738</c:v>
                </c:pt>
                <c:pt idx="83">
                  <c:v>43708</c:v>
                </c:pt>
                <c:pt idx="84">
                  <c:v>43677</c:v>
                </c:pt>
                <c:pt idx="85">
                  <c:v>43646</c:v>
                </c:pt>
                <c:pt idx="86">
                  <c:v>43616</c:v>
                </c:pt>
                <c:pt idx="87">
                  <c:v>43585</c:v>
                </c:pt>
                <c:pt idx="88">
                  <c:v>43555</c:v>
                </c:pt>
                <c:pt idx="89">
                  <c:v>43524</c:v>
                </c:pt>
                <c:pt idx="90">
                  <c:v>43496</c:v>
                </c:pt>
                <c:pt idx="91">
                  <c:v>43465</c:v>
                </c:pt>
                <c:pt idx="92">
                  <c:v>43434</c:v>
                </c:pt>
                <c:pt idx="93">
                  <c:v>43404</c:v>
                </c:pt>
                <c:pt idx="94">
                  <c:v>43373</c:v>
                </c:pt>
                <c:pt idx="95">
                  <c:v>43343</c:v>
                </c:pt>
                <c:pt idx="96">
                  <c:v>43312</c:v>
                </c:pt>
                <c:pt idx="97">
                  <c:v>43281</c:v>
                </c:pt>
                <c:pt idx="98">
                  <c:v>43251</c:v>
                </c:pt>
                <c:pt idx="99">
                  <c:v>43220</c:v>
                </c:pt>
                <c:pt idx="100">
                  <c:v>43190</c:v>
                </c:pt>
                <c:pt idx="101">
                  <c:v>43159</c:v>
                </c:pt>
                <c:pt idx="102">
                  <c:v>43131</c:v>
                </c:pt>
                <c:pt idx="103">
                  <c:v>43100</c:v>
                </c:pt>
                <c:pt idx="104">
                  <c:v>43069</c:v>
                </c:pt>
                <c:pt idx="105">
                  <c:v>43039</c:v>
                </c:pt>
                <c:pt idx="106">
                  <c:v>43008</c:v>
                </c:pt>
                <c:pt idx="107">
                  <c:v>42978</c:v>
                </c:pt>
                <c:pt idx="108">
                  <c:v>42947</c:v>
                </c:pt>
                <c:pt idx="109">
                  <c:v>42916</c:v>
                </c:pt>
                <c:pt idx="110">
                  <c:v>42886</c:v>
                </c:pt>
                <c:pt idx="111">
                  <c:v>42855</c:v>
                </c:pt>
                <c:pt idx="112">
                  <c:v>42825</c:v>
                </c:pt>
                <c:pt idx="113">
                  <c:v>42794</c:v>
                </c:pt>
                <c:pt idx="114">
                  <c:v>42766</c:v>
                </c:pt>
                <c:pt idx="115">
                  <c:v>42735</c:v>
                </c:pt>
                <c:pt idx="116">
                  <c:v>42704</c:v>
                </c:pt>
                <c:pt idx="117">
                  <c:v>42674</c:v>
                </c:pt>
                <c:pt idx="118">
                  <c:v>42643</c:v>
                </c:pt>
                <c:pt idx="119">
                  <c:v>42613</c:v>
                </c:pt>
                <c:pt idx="120">
                  <c:v>42582</c:v>
                </c:pt>
                <c:pt idx="121">
                  <c:v>42551</c:v>
                </c:pt>
                <c:pt idx="122">
                  <c:v>42521</c:v>
                </c:pt>
                <c:pt idx="123">
                  <c:v>42490</c:v>
                </c:pt>
                <c:pt idx="124">
                  <c:v>42460</c:v>
                </c:pt>
                <c:pt idx="125">
                  <c:v>42429</c:v>
                </c:pt>
                <c:pt idx="126">
                  <c:v>42400</c:v>
                </c:pt>
                <c:pt idx="127">
                  <c:v>42369</c:v>
                </c:pt>
                <c:pt idx="128">
                  <c:v>42338</c:v>
                </c:pt>
                <c:pt idx="129">
                  <c:v>42308</c:v>
                </c:pt>
                <c:pt idx="130">
                  <c:v>42277</c:v>
                </c:pt>
                <c:pt idx="131">
                  <c:v>42247</c:v>
                </c:pt>
                <c:pt idx="132">
                  <c:v>42216</c:v>
                </c:pt>
                <c:pt idx="133">
                  <c:v>42185</c:v>
                </c:pt>
                <c:pt idx="134">
                  <c:v>42155</c:v>
                </c:pt>
                <c:pt idx="135">
                  <c:v>42124</c:v>
                </c:pt>
                <c:pt idx="136">
                  <c:v>42094</c:v>
                </c:pt>
                <c:pt idx="137">
                  <c:v>42063</c:v>
                </c:pt>
                <c:pt idx="138">
                  <c:v>42035</c:v>
                </c:pt>
                <c:pt idx="139">
                  <c:v>42004</c:v>
                </c:pt>
                <c:pt idx="140">
                  <c:v>41973</c:v>
                </c:pt>
                <c:pt idx="141">
                  <c:v>41943</c:v>
                </c:pt>
                <c:pt idx="142">
                  <c:v>41912</c:v>
                </c:pt>
                <c:pt idx="143">
                  <c:v>41882</c:v>
                </c:pt>
                <c:pt idx="144">
                  <c:v>41851</c:v>
                </c:pt>
                <c:pt idx="145">
                  <c:v>41820</c:v>
                </c:pt>
                <c:pt idx="146">
                  <c:v>41790</c:v>
                </c:pt>
                <c:pt idx="147">
                  <c:v>41759</c:v>
                </c:pt>
                <c:pt idx="148">
                  <c:v>41729</c:v>
                </c:pt>
                <c:pt idx="149">
                  <c:v>41698</c:v>
                </c:pt>
                <c:pt idx="150">
                  <c:v>41670</c:v>
                </c:pt>
                <c:pt idx="151">
                  <c:v>41639</c:v>
                </c:pt>
                <c:pt idx="152">
                  <c:v>41608</c:v>
                </c:pt>
                <c:pt idx="153">
                  <c:v>41578</c:v>
                </c:pt>
                <c:pt idx="154">
                  <c:v>41547</c:v>
                </c:pt>
                <c:pt idx="155">
                  <c:v>41517</c:v>
                </c:pt>
                <c:pt idx="156">
                  <c:v>41486</c:v>
                </c:pt>
                <c:pt idx="157">
                  <c:v>41455</c:v>
                </c:pt>
                <c:pt idx="158">
                  <c:v>41425</c:v>
                </c:pt>
                <c:pt idx="159">
                  <c:v>41394</c:v>
                </c:pt>
                <c:pt idx="160">
                  <c:v>41364</c:v>
                </c:pt>
                <c:pt idx="161">
                  <c:v>41333</c:v>
                </c:pt>
                <c:pt idx="162">
                  <c:v>41305</c:v>
                </c:pt>
                <c:pt idx="163">
                  <c:v>41274</c:v>
                </c:pt>
                <c:pt idx="164">
                  <c:v>41243</c:v>
                </c:pt>
                <c:pt idx="165">
                  <c:v>41213</c:v>
                </c:pt>
                <c:pt idx="166">
                  <c:v>41182</c:v>
                </c:pt>
                <c:pt idx="167">
                  <c:v>41152</c:v>
                </c:pt>
                <c:pt idx="168">
                  <c:v>41121</c:v>
                </c:pt>
                <c:pt idx="169">
                  <c:v>41090</c:v>
                </c:pt>
                <c:pt idx="170">
                  <c:v>41060</c:v>
                </c:pt>
                <c:pt idx="171">
                  <c:v>41029</c:v>
                </c:pt>
                <c:pt idx="172">
                  <c:v>40999</c:v>
                </c:pt>
                <c:pt idx="173">
                  <c:v>40968</c:v>
                </c:pt>
                <c:pt idx="174">
                  <c:v>40939</c:v>
                </c:pt>
                <c:pt idx="175">
                  <c:v>40908</c:v>
                </c:pt>
                <c:pt idx="176">
                  <c:v>40877</c:v>
                </c:pt>
                <c:pt idx="177">
                  <c:v>40847</c:v>
                </c:pt>
                <c:pt idx="178">
                  <c:v>40816</c:v>
                </c:pt>
                <c:pt idx="179">
                  <c:v>40786</c:v>
                </c:pt>
                <c:pt idx="180">
                  <c:v>40755</c:v>
                </c:pt>
                <c:pt idx="181">
                  <c:v>40724</c:v>
                </c:pt>
                <c:pt idx="182">
                  <c:v>40694</c:v>
                </c:pt>
                <c:pt idx="183">
                  <c:v>40663</c:v>
                </c:pt>
                <c:pt idx="184">
                  <c:v>40633</c:v>
                </c:pt>
                <c:pt idx="185">
                  <c:v>40602</c:v>
                </c:pt>
                <c:pt idx="186">
                  <c:v>40574</c:v>
                </c:pt>
                <c:pt idx="187">
                  <c:v>40543</c:v>
                </c:pt>
                <c:pt idx="188">
                  <c:v>40512</c:v>
                </c:pt>
                <c:pt idx="189">
                  <c:v>40482</c:v>
                </c:pt>
                <c:pt idx="190">
                  <c:v>40451</c:v>
                </c:pt>
                <c:pt idx="191">
                  <c:v>40421</c:v>
                </c:pt>
                <c:pt idx="192">
                  <c:v>40390</c:v>
                </c:pt>
                <c:pt idx="193">
                  <c:v>40359</c:v>
                </c:pt>
                <c:pt idx="194">
                  <c:v>40329</c:v>
                </c:pt>
                <c:pt idx="195">
                  <c:v>40298</c:v>
                </c:pt>
                <c:pt idx="196">
                  <c:v>40268</c:v>
                </c:pt>
                <c:pt idx="197">
                  <c:v>40237</c:v>
                </c:pt>
                <c:pt idx="198">
                  <c:v>40209</c:v>
                </c:pt>
                <c:pt idx="199">
                  <c:v>40178</c:v>
                </c:pt>
                <c:pt idx="200">
                  <c:v>40147</c:v>
                </c:pt>
                <c:pt idx="201">
                  <c:v>40117</c:v>
                </c:pt>
                <c:pt idx="202">
                  <c:v>40086</c:v>
                </c:pt>
                <c:pt idx="203">
                  <c:v>40056</c:v>
                </c:pt>
                <c:pt idx="204">
                  <c:v>40025</c:v>
                </c:pt>
                <c:pt idx="205">
                  <c:v>39994</c:v>
                </c:pt>
                <c:pt idx="206">
                  <c:v>39964</c:v>
                </c:pt>
                <c:pt idx="207">
                  <c:v>39933</c:v>
                </c:pt>
                <c:pt idx="208">
                  <c:v>39903</c:v>
                </c:pt>
                <c:pt idx="209">
                  <c:v>39872</c:v>
                </c:pt>
                <c:pt idx="210">
                  <c:v>39844</c:v>
                </c:pt>
                <c:pt idx="211">
                  <c:v>39813</c:v>
                </c:pt>
                <c:pt idx="212">
                  <c:v>39782</c:v>
                </c:pt>
                <c:pt idx="213">
                  <c:v>39752</c:v>
                </c:pt>
                <c:pt idx="214">
                  <c:v>39721</c:v>
                </c:pt>
                <c:pt idx="215">
                  <c:v>39691</c:v>
                </c:pt>
                <c:pt idx="216">
                  <c:v>39660</c:v>
                </c:pt>
                <c:pt idx="217">
                  <c:v>39629</c:v>
                </c:pt>
                <c:pt idx="218">
                  <c:v>39599</c:v>
                </c:pt>
                <c:pt idx="219">
                  <c:v>39568</c:v>
                </c:pt>
                <c:pt idx="220">
                  <c:v>39538</c:v>
                </c:pt>
                <c:pt idx="221">
                  <c:v>39507</c:v>
                </c:pt>
                <c:pt idx="222">
                  <c:v>39478</c:v>
                </c:pt>
                <c:pt idx="223">
                  <c:v>39447</c:v>
                </c:pt>
                <c:pt idx="224">
                  <c:v>39416</c:v>
                </c:pt>
                <c:pt idx="225">
                  <c:v>39386</c:v>
                </c:pt>
                <c:pt idx="226">
                  <c:v>39355</c:v>
                </c:pt>
                <c:pt idx="227">
                  <c:v>39325</c:v>
                </c:pt>
                <c:pt idx="228">
                  <c:v>39294</c:v>
                </c:pt>
                <c:pt idx="229">
                  <c:v>39263</c:v>
                </c:pt>
                <c:pt idx="230">
                  <c:v>39233</c:v>
                </c:pt>
                <c:pt idx="231">
                  <c:v>39202</c:v>
                </c:pt>
                <c:pt idx="232">
                  <c:v>39172</c:v>
                </c:pt>
                <c:pt idx="233">
                  <c:v>39141</c:v>
                </c:pt>
                <c:pt idx="234">
                  <c:v>39113</c:v>
                </c:pt>
                <c:pt idx="235">
                  <c:v>39082</c:v>
                </c:pt>
                <c:pt idx="236">
                  <c:v>39051</c:v>
                </c:pt>
                <c:pt idx="237">
                  <c:v>39021</c:v>
                </c:pt>
                <c:pt idx="238">
                  <c:v>38990</c:v>
                </c:pt>
                <c:pt idx="239">
                  <c:v>38960</c:v>
                </c:pt>
                <c:pt idx="240">
                  <c:v>38929</c:v>
                </c:pt>
                <c:pt idx="241">
                  <c:v>38898</c:v>
                </c:pt>
                <c:pt idx="242">
                  <c:v>38868</c:v>
                </c:pt>
                <c:pt idx="243">
                  <c:v>38837</c:v>
                </c:pt>
                <c:pt idx="244">
                  <c:v>38807</c:v>
                </c:pt>
                <c:pt idx="245">
                  <c:v>38776</c:v>
                </c:pt>
                <c:pt idx="246">
                  <c:v>38748</c:v>
                </c:pt>
                <c:pt idx="247">
                  <c:v>38717</c:v>
                </c:pt>
                <c:pt idx="248">
                  <c:v>38686</c:v>
                </c:pt>
                <c:pt idx="249">
                  <c:v>38656</c:v>
                </c:pt>
                <c:pt idx="250">
                  <c:v>38625</c:v>
                </c:pt>
                <c:pt idx="251">
                  <c:v>38595</c:v>
                </c:pt>
                <c:pt idx="252">
                  <c:v>38564</c:v>
                </c:pt>
                <c:pt idx="253">
                  <c:v>38533</c:v>
                </c:pt>
                <c:pt idx="254">
                  <c:v>38503</c:v>
                </c:pt>
                <c:pt idx="255">
                  <c:v>38472</c:v>
                </c:pt>
                <c:pt idx="256">
                  <c:v>38442</c:v>
                </c:pt>
                <c:pt idx="257">
                  <c:v>38411</c:v>
                </c:pt>
                <c:pt idx="258">
                  <c:v>38383</c:v>
                </c:pt>
                <c:pt idx="259">
                  <c:v>38352</c:v>
                </c:pt>
                <c:pt idx="260">
                  <c:v>38321</c:v>
                </c:pt>
                <c:pt idx="261">
                  <c:v>38291</c:v>
                </c:pt>
                <c:pt idx="262">
                  <c:v>38260</c:v>
                </c:pt>
                <c:pt idx="263">
                  <c:v>38230</c:v>
                </c:pt>
                <c:pt idx="264">
                  <c:v>38199</c:v>
                </c:pt>
                <c:pt idx="265">
                  <c:v>38168</c:v>
                </c:pt>
                <c:pt idx="266">
                  <c:v>38138</c:v>
                </c:pt>
                <c:pt idx="267">
                  <c:v>38107</c:v>
                </c:pt>
                <c:pt idx="268">
                  <c:v>38077</c:v>
                </c:pt>
                <c:pt idx="269">
                  <c:v>38046</c:v>
                </c:pt>
                <c:pt idx="270">
                  <c:v>38017</c:v>
                </c:pt>
                <c:pt idx="271">
                  <c:v>37986</c:v>
                </c:pt>
                <c:pt idx="272">
                  <c:v>37955</c:v>
                </c:pt>
                <c:pt idx="273">
                  <c:v>37925</c:v>
                </c:pt>
                <c:pt idx="274">
                  <c:v>37894</c:v>
                </c:pt>
                <c:pt idx="275">
                  <c:v>37864</c:v>
                </c:pt>
                <c:pt idx="276">
                  <c:v>37833</c:v>
                </c:pt>
                <c:pt idx="277">
                  <c:v>37802</c:v>
                </c:pt>
                <c:pt idx="278">
                  <c:v>37772</c:v>
                </c:pt>
                <c:pt idx="279">
                  <c:v>37741</c:v>
                </c:pt>
                <c:pt idx="280">
                  <c:v>37711</c:v>
                </c:pt>
                <c:pt idx="281">
                  <c:v>37680</c:v>
                </c:pt>
                <c:pt idx="282">
                  <c:v>37652</c:v>
                </c:pt>
                <c:pt idx="283">
                  <c:v>37621</c:v>
                </c:pt>
                <c:pt idx="284">
                  <c:v>37590</c:v>
                </c:pt>
                <c:pt idx="285">
                  <c:v>37560</c:v>
                </c:pt>
                <c:pt idx="286">
                  <c:v>37529</c:v>
                </c:pt>
                <c:pt idx="287">
                  <c:v>37499</c:v>
                </c:pt>
                <c:pt idx="288">
                  <c:v>37468</c:v>
                </c:pt>
                <c:pt idx="289">
                  <c:v>37437</c:v>
                </c:pt>
                <c:pt idx="290">
                  <c:v>37407</c:v>
                </c:pt>
                <c:pt idx="291">
                  <c:v>37376</c:v>
                </c:pt>
                <c:pt idx="292">
                  <c:v>37346</c:v>
                </c:pt>
                <c:pt idx="293">
                  <c:v>37315</c:v>
                </c:pt>
                <c:pt idx="294">
                  <c:v>37287</c:v>
                </c:pt>
                <c:pt idx="295">
                  <c:v>37256</c:v>
                </c:pt>
                <c:pt idx="296">
                  <c:v>37225</c:v>
                </c:pt>
                <c:pt idx="297">
                  <c:v>37195</c:v>
                </c:pt>
                <c:pt idx="298">
                  <c:v>37164</c:v>
                </c:pt>
                <c:pt idx="299">
                  <c:v>37134</c:v>
                </c:pt>
                <c:pt idx="300">
                  <c:v>37103</c:v>
                </c:pt>
                <c:pt idx="301">
                  <c:v>37072</c:v>
                </c:pt>
                <c:pt idx="302">
                  <c:v>37042</c:v>
                </c:pt>
                <c:pt idx="303">
                  <c:v>37011</c:v>
                </c:pt>
                <c:pt idx="304">
                  <c:v>36981</c:v>
                </c:pt>
                <c:pt idx="305">
                  <c:v>36950</c:v>
                </c:pt>
                <c:pt idx="306">
                  <c:v>36922</c:v>
                </c:pt>
                <c:pt idx="307">
                  <c:v>36891</c:v>
                </c:pt>
                <c:pt idx="308">
                  <c:v>36860</c:v>
                </c:pt>
                <c:pt idx="309">
                  <c:v>36830</c:v>
                </c:pt>
                <c:pt idx="310">
                  <c:v>36799</c:v>
                </c:pt>
                <c:pt idx="311">
                  <c:v>36769</c:v>
                </c:pt>
                <c:pt idx="312">
                  <c:v>36738</c:v>
                </c:pt>
                <c:pt idx="313">
                  <c:v>36707</c:v>
                </c:pt>
                <c:pt idx="314">
                  <c:v>36677</c:v>
                </c:pt>
              </c:numCache>
            </c:numRef>
          </c:cat>
          <c:val>
            <c:numRef>
              <c:f>'Formosa Housing Loan'!$B$2:$B$316</c:f>
              <c:numCache>
                <c:formatCode>General</c:formatCode>
                <c:ptCount val="315"/>
                <c:pt idx="0">
                  <c:v>11889.58</c:v>
                </c:pt>
                <c:pt idx="1">
                  <c:v>11812.65</c:v>
                </c:pt>
                <c:pt idx="2">
                  <c:v>11759.07</c:v>
                </c:pt>
                <c:pt idx="3">
                  <c:v>11721.57</c:v>
                </c:pt>
                <c:pt idx="4">
                  <c:v>11674.2</c:v>
                </c:pt>
                <c:pt idx="5">
                  <c:v>11627.79</c:v>
                </c:pt>
                <c:pt idx="6">
                  <c:v>11617.23</c:v>
                </c:pt>
                <c:pt idx="7">
                  <c:v>11577.85</c:v>
                </c:pt>
                <c:pt idx="8">
                  <c:v>11529.22</c:v>
                </c:pt>
                <c:pt idx="9">
                  <c:v>11486.47</c:v>
                </c:pt>
                <c:pt idx="10">
                  <c:v>11449.24</c:v>
                </c:pt>
                <c:pt idx="11">
                  <c:v>11423.46</c:v>
                </c:pt>
                <c:pt idx="12">
                  <c:v>11375.64</c:v>
                </c:pt>
                <c:pt idx="13">
                  <c:v>11318.81</c:v>
                </c:pt>
                <c:pt idx="14">
                  <c:v>11269.77</c:v>
                </c:pt>
                <c:pt idx="15">
                  <c:v>11216.96</c:v>
                </c:pt>
                <c:pt idx="16">
                  <c:v>11174.81</c:v>
                </c:pt>
                <c:pt idx="17">
                  <c:v>11128.34</c:v>
                </c:pt>
                <c:pt idx="18">
                  <c:v>11111.24</c:v>
                </c:pt>
                <c:pt idx="19">
                  <c:v>11083.14</c:v>
                </c:pt>
                <c:pt idx="20">
                  <c:v>11000.56</c:v>
                </c:pt>
                <c:pt idx="21">
                  <c:v>10929.27</c:v>
                </c:pt>
                <c:pt idx="22">
                  <c:v>10860</c:v>
                </c:pt>
                <c:pt idx="23">
                  <c:v>10748.82</c:v>
                </c:pt>
                <c:pt idx="24">
                  <c:v>10657</c:v>
                </c:pt>
                <c:pt idx="25">
                  <c:v>10540.48</c:v>
                </c:pt>
                <c:pt idx="26">
                  <c:v>10433.59</c:v>
                </c:pt>
                <c:pt idx="27">
                  <c:v>10309.290000000001</c:v>
                </c:pt>
                <c:pt idx="28">
                  <c:v>10220.25</c:v>
                </c:pt>
                <c:pt idx="29">
                  <c:v>10137.6</c:v>
                </c:pt>
                <c:pt idx="30">
                  <c:v>10113.98</c:v>
                </c:pt>
                <c:pt idx="31">
                  <c:v>10037.69</c:v>
                </c:pt>
                <c:pt idx="32">
                  <c:v>9932.14</c:v>
                </c:pt>
                <c:pt idx="33">
                  <c:v>9839.7800000000007</c:v>
                </c:pt>
                <c:pt idx="34">
                  <c:v>9760.7800000000007</c:v>
                </c:pt>
                <c:pt idx="35">
                  <c:v>9681.43</c:v>
                </c:pt>
                <c:pt idx="36">
                  <c:v>9616.42</c:v>
                </c:pt>
                <c:pt idx="37">
                  <c:v>9563.7999999999993</c:v>
                </c:pt>
                <c:pt idx="38">
                  <c:v>9503.18</c:v>
                </c:pt>
                <c:pt idx="39">
                  <c:v>9448</c:v>
                </c:pt>
                <c:pt idx="40">
                  <c:v>9414.92</c:v>
                </c:pt>
                <c:pt idx="41">
                  <c:v>9388.07</c:v>
                </c:pt>
                <c:pt idx="42">
                  <c:v>9366.4500000000007</c:v>
                </c:pt>
                <c:pt idx="43">
                  <c:v>9377.34</c:v>
                </c:pt>
                <c:pt idx="44">
                  <c:v>9320.43</c:v>
                </c:pt>
                <c:pt idx="45">
                  <c:v>9269.3799999999992</c:v>
                </c:pt>
                <c:pt idx="46">
                  <c:v>9242.67</c:v>
                </c:pt>
                <c:pt idx="47">
                  <c:v>9207.5400000000009</c:v>
                </c:pt>
                <c:pt idx="48">
                  <c:v>9182.49</c:v>
                </c:pt>
                <c:pt idx="49">
                  <c:v>9140.61</c:v>
                </c:pt>
                <c:pt idx="50">
                  <c:v>9090.65</c:v>
                </c:pt>
                <c:pt idx="51">
                  <c:v>9021.75</c:v>
                </c:pt>
                <c:pt idx="52">
                  <c:v>8961.32</c:v>
                </c:pt>
                <c:pt idx="53">
                  <c:v>8895.59</c:v>
                </c:pt>
                <c:pt idx="54">
                  <c:v>8869.2999999999993</c:v>
                </c:pt>
                <c:pt idx="55">
                  <c:v>8803.02</c:v>
                </c:pt>
                <c:pt idx="56">
                  <c:v>8699.43</c:v>
                </c:pt>
                <c:pt idx="57">
                  <c:v>8614.6</c:v>
                </c:pt>
                <c:pt idx="58">
                  <c:v>8544.35</c:v>
                </c:pt>
                <c:pt idx="59">
                  <c:v>8483.39</c:v>
                </c:pt>
                <c:pt idx="60">
                  <c:v>8452.19</c:v>
                </c:pt>
                <c:pt idx="61">
                  <c:v>8406.9</c:v>
                </c:pt>
                <c:pt idx="62">
                  <c:v>8324.5499999999993</c:v>
                </c:pt>
                <c:pt idx="63">
                  <c:v>8247.2900000000009</c:v>
                </c:pt>
                <c:pt idx="64">
                  <c:v>8187.51</c:v>
                </c:pt>
                <c:pt idx="65">
                  <c:v>8131.95</c:v>
                </c:pt>
                <c:pt idx="66">
                  <c:v>8105.76</c:v>
                </c:pt>
                <c:pt idx="67">
                  <c:v>8042.3</c:v>
                </c:pt>
                <c:pt idx="68">
                  <c:v>7949.34</c:v>
                </c:pt>
                <c:pt idx="69">
                  <c:v>7876.88</c:v>
                </c:pt>
                <c:pt idx="70">
                  <c:v>7811.29</c:v>
                </c:pt>
                <c:pt idx="71">
                  <c:v>7737.74</c:v>
                </c:pt>
                <c:pt idx="72">
                  <c:v>7670.09</c:v>
                </c:pt>
                <c:pt idx="73">
                  <c:v>7613.85</c:v>
                </c:pt>
                <c:pt idx="74">
                  <c:v>7568.38</c:v>
                </c:pt>
                <c:pt idx="75">
                  <c:v>7531.29</c:v>
                </c:pt>
                <c:pt idx="76">
                  <c:v>7494.13</c:v>
                </c:pt>
                <c:pt idx="77">
                  <c:v>7455.84</c:v>
                </c:pt>
                <c:pt idx="78">
                  <c:v>7425.17</c:v>
                </c:pt>
                <c:pt idx="79">
                  <c:v>7412.55</c:v>
                </c:pt>
                <c:pt idx="80">
                  <c:v>7356.08</c:v>
                </c:pt>
                <c:pt idx="81">
                  <c:v>7306.91</c:v>
                </c:pt>
                <c:pt idx="82">
                  <c:v>7256.03</c:v>
                </c:pt>
                <c:pt idx="83">
                  <c:v>7219.48</c:v>
                </c:pt>
                <c:pt idx="84">
                  <c:v>7199.26</c:v>
                </c:pt>
                <c:pt idx="85">
                  <c:v>7143.22</c:v>
                </c:pt>
                <c:pt idx="86">
                  <c:v>7100.13</c:v>
                </c:pt>
                <c:pt idx="87">
                  <c:v>7056.33</c:v>
                </c:pt>
                <c:pt idx="88">
                  <c:v>7025.84</c:v>
                </c:pt>
                <c:pt idx="89">
                  <c:v>7003.93</c:v>
                </c:pt>
                <c:pt idx="90">
                  <c:v>6994.83</c:v>
                </c:pt>
                <c:pt idx="91">
                  <c:v>6977.42</c:v>
                </c:pt>
                <c:pt idx="92">
                  <c:v>6941.42</c:v>
                </c:pt>
                <c:pt idx="93">
                  <c:v>6905.19</c:v>
                </c:pt>
                <c:pt idx="94">
                  <c:v>6870.59</c:v>
                </c:pt>
                <c:pt idx="95">
                  <c:v>6836.71</c:v>
                </c:pt>
                <c:pt idx="96">
                  <c:v>6817.57</c:v>
                </c:pt>
                <c:pt idx="97">
                  <c:v>6784.32</c:v>
                </c:pt>
                <c:pt idx="98">
                  <c:v>6751.86</c:v>
                </c:pt>
                <c:pt idx="99">
                  <c:v>6718.43</c:v>
                </c:pt>
                <c:pt idx="100">
                  <c:v>6699.71</c:v>
                </c:pt>
                <c:pt idx="101">
                  <c:v>6677.63</c:v>
                </c:pt>
                <c:pt idx="102">
                  <c:v>6673.4</c:v>
                </c:pt>
                <c:pt idx="103">
                  <c:v>6647.78</c:v>
                </c:pt>
                <c:pt idx="104">
                  <c:v>6610.12</c:v>
                </c:pt>
                <c:pt idx="105">
                  <c:v>6574.27</c:v>
                </c:pt>
                <c:pt idx="106">
                  <c:v>6556.4</c:v>
                </c:pt>
                <c:pt idx="107">
                  <c:v>6530.08</c:v>
                </c:pt>
                <c:pt idx="108">
                  <c:v>6507.16</c:v>
                </c:pt>
                <c:pt idx="109">
                  <c:v>6483.06</c:v>
                </c:pt>
                <c:pt idx="110">
                  <c:v>6445.9</c:v>
                </c:pt>
                <c:pt idx="111">
                  <c:v>6420.92</c:v>
                </c:pt>
                <c:pt idx="112">
                  <c:v>6398.31</c:v>
                </c:pt>
                <c:pt idx="113">
                  <c:v>6380.07</c:v>
                </c:pt>
                <c:pt idx="114">
                  <c:v>6383.16</c:v>
                </c:pt>
                <c:pt idx="115">
                  <c:v>6365.16</c:v>
                </c:pt>
                <c:pt idx="116">
                  <c:v>6324.6</c:v>
                </c:pt>
                <c:pt idx="117">
                  <c:v>6298.49</c:v>
                </c:pt>
                <c:pt idx="118">
                  <c:v>6276.84</c:v>
                </c:pt>
                <c:pt idx="119">
                  <c:v>6244.68</c:v>
                </c:pt>
                <c:pt idx="120">
                  <c:v>6230.74</c:v>
                </c:pt>
                <c:pt idx="121">
                  <c:v>6199.63</c:v>
                </c:pt>
                <c:pt idx="122">
                  <c:v>6167.25</c:v>
                </c:pt>
                <c:pt idx="123">
                  <c:v>6139.08</c:v>
                </c:pt>
                <c:pt idx="124">
                  <c:v>6123.25</c:v>
                </c:pt>
                <c:pt idx="125">
                  <c:v>6124.1</c:v>
                </c:pt>
                <c:pt idx="126">
                  <c:v>6137.02</c:v>
                </c:pt>
                <c:pt idx="127">
                  <c:v>6132.28</c:v>
                </c:pt>
                <c:pt idx="128">
                  <c:v>6027.73</c:v>
                </c:pt>
                <c:pt idx="129">
                  <c:v>5998.21</c:v>
                </c:pt>
                <c:pt idx="130">
                  <c:v>5977.63</c:v>
                </c:pt>
                <c:pt idx="131">
                  <c:v>5962.44</c:v>
                </c:pt>
                <c:pt idx="132">
                  <c:v>5948.79</c:v>
                </c:pt>
                <c:pt idx="133">
                  <c:v>5926.71</c:v>
                </c:pt>
                <c:pt idx="134">
                  <c:v>5908.78</c:v>
                </c:pt>
                <c:pt idx="135">
                  <c:v>5892.74</c:v>
                </c:pt>
                <c:pt idx="136">
                  <c:v>5879.5</c:v>
                </c:pt>
                <c:pt idx="137">
                  <c:v>5872.56</c:v>
                </c:pt>
                <c:pt idx="138">
                  <c:v>5872.74</c:v>
                </c:pt>
                <c:pt idx="139">
                  <c:v>5867</c:v>
                </c:pt>
                <c:pt idx="140">
                  <c:v>5840.81</c:v>
                </c:pt>
                <c:pt idx="141">
                  <c:v>5817.13</c:v>
                </c:pt>
                <c:pt idx="142">
                  <c:v>5807.07</c:v>
                </c:pt>
                <c:pt idx="143">
                  <c:v>5792.56</c:v>
                </c:pt>
                <c:pt idx="144">
                  <c:v>5778.24</c:v>
                </c:pt>
                <c:pt idx="145">
                  <c:v>5750.65</c:v>
                </c:pt>
                <c:pt idx="146">
                  <c:v>5725.4</c:v>
                </c:pt>
                <c:pt idx="147">
                  <c:v>5700.96</c:v>
                </c:pt>
                <c:pt idx="148">
                  <c:v>5678.85</c:v>
                </c:pt>
                <c:pt idx="149">
                  <c:v>5664.98</c:v>
                </c:pt>
                <c:pt idx="150">
                  <c:v>5668.65</c:v>
                </c:pt>
                <c:pt idx="151">
                  <c:v>5646.77</c:v>
                </c:pt>
                <c:pt idx="152">
                  <c:v>5599.2</c:v>
                </c:pt>
                <c:pt idx="153">
                  <c:v>5565.52</c:v>
                </c:pt>
                <c:pt idx="154">
                  <c:v>5545.91</c:v>
                </c:pt>
                <c:pt idx="155">
                  <c:v>5519.43</c:v>
                </c:pt>
                <c:pt idx="156">
                  <c:v>5506.91</c:v>
                </c:pt>
                <c:pt idx="157">
                  <c:v>5484.05</c:v>
                </c:pt>
                <c:pt idx="158">
                  <c:v>5464.22</c:v>
                </c:pt>
                <c:pt idx="159">
                  <c:v>5443.74</c:v>
                </c:pt>
                <c:pt idx="160">
                  <c:v>5430.78</c:v>
                </c:pt>
                <c:pt idx="161">
                  <c:v>5429.27</c:v>
                </c:pt>
                <c:pt idx="162">
                  <c:v>5442.93</c:v>
                </c:pt>
                <c:pt idx="163">
                  <c:v>5420.33</c:v>
                </c:pt>
                <c:pt idx="164">
                  <c:v>5403.46</c:v>
                </c:pt>
                <c:pt idx="165">
                  <c:v>5385.21</c:v>
                </c:pt>
                <c:pt idx="166">
                  <c:v>5373.75</c:v>
                </c:pt>
                <c:pt idx="167">
                  <c:v>5365.31</c:v>
                </c:pt>
                <c:pt idx="168">
                  <c:v>5350.71</c:v>
                </c:pt>
                <c:pt idx="169">
                  <c:v>5319.71</c:v>
                </c:pt>
                <c:pt idx="170">
                  <c:v>5290.92</c:v>
                </c:pt>
                <c:pt idx="171">
                  <c:v>5267.51</c:v>
                </c:pt>
                <c:pt idx="172">
                  <c:v>5250.65</c:v>
                </c:pt>
                <c:pt idx="173">
                  <c:v>5244.34</c:v>
                </c:pt>
                <c:pt idx="174">
                  <c:v>5257.67</c:v>
                </c:pt>
                <c:pt idx="175">
                  <c:v>5274.02</c:v>
                </c:pt>
                <c:pt idx="176">
                  <c:v>5253.31</c:v>
                </c:pt>
                <c:pt idx="177">
                  <c:v>5250.37</c:v>
                </c:pt>
                <c:pt idx="178">
                  <c:v>5245.36</c:v>
                </c:pt>
                <c:pt idx="179">
                  <c:v>5232.8100000000004</c:v>
                </c:pt>
                <c:pt idx="180">
                  <c:v>5228.87</c:v>
                </c:pt>
                <c:pt idx="181">
                  <c:v>5215.5600000000004</c:v>
                </c:pt>
                <c:pt idx="182">
                  <c:v>5204.8</c:v>
                </c:pt>
                <c:pt idx="183">
                  <c:v>5189.6499999999996</c:v>
                </c:pt>
                <c:pt idx="184">
                  <c:v>5167.9399999999996</c:v>
                </c:pt>
                <c:pt idx="185">
                  <c:v>5133.9399999999996</c:v>
                </c:pt>
                <c:pt idx="186">
                  <c:v>5138.6000000000004</c:v>
                </c:pt>
                <c:pt idx="187">
                  <c:v>5109.26</c:v>
                </c:pt>
                <c:pt idx="188">
                  <c:v>5060.68</c:v>
                </c:pt>
                <c:pt idx="189">
                  <c:v>5033.04</c:v>
                </c:pt>
                <c:pt idx="190">
                  <c:v>5010.3900000000003</c:v>
                </c:pt>
                <c:pt idx="191">
                  <c:v>4996.34</c:v>
                </c:pt>
                <c:pt idx="192">
                  <c:v>4984.68</c:v>
                </c:pt>
                <c:pt idx="193">
                  <c:v>4955.96</c:v>
                </c:pt>
                <c:pt idx="194">
                  <c:v>4929.47</c:v>
                </c:pt>
                <c:pt idx="195">
                  <c:v>4895.58</c:v>
                </c:pt>
                <c:pt idx="196">
                  <c:v>4867.0200000000004</c:v>
                </c:pt>
                <c:pt idx="197">
                  <c:v>4843.5600000000004</c:v>
                </c:pt>
                <c:pt idx="198">
                  <c:v>4837.33</c:v>
                </c:pt>
                <c:pt idx="199">
                  <c:v>4816.6499999999996</c:v>
                </c:pt>
                <c:pt idx="200">
                  <c:v>4780.13</c:v>
                </c:pt>
                <c:pt idx="201">
                  <c:v>4754.28</c:v>
                </c:pt>
                <c:pt idx="202">
                  <c:v>4735</c:v>
                </c:pt>
                <c:pt idx="203">
                  <c:v>4706.5200000000004</c:v>
                </c:pt>
                <c:pt idx="204">
                  <c:v>4655.66</c:v>
                </c:pt>
                <c:pt idx="205">
                  <c:v>4614.9799999999996</c:v>
                </c:pt>
                <c:pt idx="206">
                  <c:v>4585.55</c:v>
                </c:pt>
                <c:pt idx="207">
                  <c:v>4560.3599999999997</c:v>
                </c:pt>
                <c:pt idx="208">
                  <c:v>4543.83</c:v>
                </c:pt>
                <c:pt idx="209">
                  <c:v>4541.26</c:v>
                </c:pt>
                <c:pt idx="210">
                  <c:v>4560.66</c:v>
                </c:pt>
                <c:pt idx="211">
                  <c:v>4587.5</c:v>
                </c:pt>
                <c:pt idx="212">
                  <c:v>4578.3999999999996</c:v>
                </c:pt>
                <c:pt idx="213">
                  <c:v>4572.51</c:v>
                </c:pt>
                <c:pt idx="214">
                  <c:v>4586.63</c:v>
                </c:pt>
                <c:pt idx="215">
                  <c:v>4588.1000000000004</c:v>
                </c:pt>
                <c:pt idx="216">
                  <c:v>4599.08</c:v>
                </c:pt>
                <c:pt idx="217">
                  <c:v>4596.42</c:v>
                </c:pt>
                <c:pt idx="218">
                  <c:v>4561.7299999999996</c:v>
                </c:pt>
                <c:pt idx="219">
                  <c:v>4528.92</c:v>
                </c:pt>
                <c:pt idx="220">
                  <c:v>4500.8599999999997</c:v>
                </c:pt>
                <c:pt idx="221">
                  <c:v>4489.12</c:v>
                </c:pt>
                <c:pt idx="222">
                  <c:v>4498.08</c:v>
                </c:pt>
                <c:pt idx="223">
                  <c:v>4505.55</c:v>
                </c:pt>
                <c:pt idx="224">
                  <c:v>4482.49</c:v>
                </c:pt>
                <c:pt idx="225">
                  <c:v>4466.42</c:v>
                </c:pt>
                <c:pt idx="226">
                  <c:v>4455.16</c:v>
                </c:pt>
                <c:pt idx="227">
                  <c:v>4437.37</c:v>
                </c:pt>
                <c:pt idx="228">
                  <c:v>4419.1400000000003</c:v>
                </c:pt>
                <c:pt idx="229">
                  <c:v>4390.32</c:v>
                </c:pt>
                <c:pt idx="230">
                  <c:v>4367.6499999999996</c:v>
                </c:pt>
                <c:pt idx="231">
                  <c:v>4321.78</c:v>
                </c:pt>
                <c:pt idx="232">
                  <c:v>4312.29</c:v>
                </c:pt>
                <c:pt idx="233">
                  <c:v>4303.82</c:v>
                </c:pt>
                <c:pt idx="234">
                  <c:v>4291</c:v>
                </c:pt>
                <c:pt idx="235">
                  <c:v>4271.88</c:v>
                </c:pt>
                <c:pt idx="236">
                  <c:v>4228.3100000000004</c:v>
                </c:pt>
                <c:pt idx="237">
                  <c:v>4175.95</c:v>
                </c:pt>
                <c:pt idx="238">
                  <c:v>4159.8900000000003</c:v>
                </c:pt>
                <c:pt idx="239">
                  <c:v>4148.59</c:v>
                </c:pt>
                <c:pt idx="240">
                  <c:v>4136.42</c:v>
                </c:pt>
                <c:pt idx="241">
                  <c:v>4098.32</c:v>
                </c:pt>
                <c:pt idx="242">
                  <c:v>4061</c:v>
                </c:pt>
                <c:pt idx="243">
                  <c:v>4026.49</c:v>
                </c:pt>
                <c:pt idx="244">
                  <c:v>4000.31</c:v>
                </c:pt>
                <c:pt idx="245">
                  <c:v>3966.92</c:v>
                </c:pt>
                <c:pt idx="246">
                  <c:v>3965.06</c:v>
                </c:pt>
                <c:pt idx="247">
                  <c:v>3924.21</c:v>
                </c:pt>
                <c:pt idx="248">
                  <c:v>3875.33</c:v>
                </c:pt>
                <c:pt idx="249">
                  <c:v>3838.44</c:v>
                </c:pt>
                <c:pt idx="250">
                  <c:v>3801.09</c:v>
                </c:pt>
                <c:pt idx="251">
                  <c:v>3766.43</c:v>
                </c:pt>
                <c:pt idx="252">
                  <c:v>3736.76</c:v>
                </c:pt>
                <c:pt idx="253">
                  <c:v>3706.86</c:v>
                </c:pt>
                <c:pt idx="254">
                  <c:v>3661.19</c:v>
                </c:pt>
                <c:pt idx="255">
                  <c:v>3625.53</c:v>
                </c:pt>
                <c:pt idx="256">
                  <c:v>3594.98</c:v>
                </c:pt>
                <c:pt idx="257">
                  <c:v>3547.05</c:v>
                </c:pt>
                <c:pt idx="258">
                  <c:v>3539.07</c:v>
                </c:pt>
                <c:pt idx="259">
                  <c:v>3482.66</c:v>
                </c:pt>
                <c:pt idx="260">
                  <c:v>3430.33</c:v>
                </c:pt>
                <c:pt idx="261">
                  <c:v>3393.48</c:v>
                </c:pt>
                <c:pt idx="262">
                  <c:v>3351.58</c:v>
                </c:pt>
                <c:pt idx="263">
                  <c:v>3322.62</c:v>
                </c:pt>
                <c:pt idx="264">
                  <c:v>3295.18</c:v>
                </c:pt>
                <c:pt idx="265">
                  <c:v>3263</c:v>
                </c:pt>
                <c:pt idx="266">
                  <c:v>3224.57</c:v>
                </c:pt>
                <c:pt idx="267">
                  <c:v>3180.95</c:v>
                </c:pt>
                <c:pt idx="268">
                  <c:v>3127.73</c:v>
                </c:pt>
                <c:pt idx="269">
                  <c:v>3093.51</c:v>
                </c:pt>
                <c:pt idx="270">
                  <c:v>3071.4</c:v>
                </c:pt>
                <c:pt idx="271">
                  <c:v>3038.88</c:v>
                </c:pt>
                <c:pt idx="272">
                  <c:v>2979.36</c:v>
                </c:pt>
                <c:pt idx="273">
                  <c:v>2927.82</c:v>
                </c:pt>
                <c:pt idx="274">
                  <c:v>2903.43</c:v>
                </c:pt>
                <c:pt idx="275">
                  <c:v>2879.68</c:v>
                </c:pt>
                <c:pt idx="276">
                  <c:v>2857.92</c:v>
                </c:pt>
                <c:pt idx="277">
                  <c:v>2835.74</c:v>
                </c:pt>
                <c:pt idx="278">
                  <c:v>2811.01</c:v>
                </c:pt>
                <c:pt idx="279">
                  <c:v>2794.54</c:v>
                </c:pt>
                <c:pt idx="280">
                  <c:v>2780.27</c:v>
                </c:pt>
                <c:pt idx="281">
                  <c:v>2769.51</c:v>
                </c:pt>
                <c:pt idx="282">
                  <c:v>2771.96</c:v>
                </c:pt>
                <c:pt idx="283">
                  <c:v>2768.19</c:v>
                </c:pt>
                <c:pt idx="284">
                  <c:v>2741.35</c:v>
                </c:pt>
                <c:pt idx="285">
                  <c:v>2721.5</c:v>
                </c:pt>
                <c:pt idx="286">
                  <c:v>2706.5</c:v>
                </c:pt>
                <c:pt idx="287">
                  <c:v>2697.38</c:v>
                </c:pt>
                <c:pt idx="288">
                  <c:v>2689.69</c:v>
                </c:pt>
                <c:pt idx="289">
                  <c:v>2682.31</c:v>
                </c:pt>
                <c:pt idx="290">
                  <c:v>2667.61</c:v>
                </c:pt>
                <c:pt idx="291">
                  <c:v>2650.58</c:v>
                </c:pt>
                <c:pt idx="292">
                  <c:v>2636.52</c:v>
                </c:pt>
                <c:pt idx="293">
                  <c:v>2637.72</c:v>
                </c:pt>
                <c:pt idx="294">
                  <c:v>2638.41</c:v>
                </c:pt>
                <c:pt idx="295">
                  <c:v>2623.28</c:v>
                </c:pt>
                <c:pt idx="296">
                  <c:v>2633.95</c:v>
                </c:pt>
                <c:pt idx="297">
                  <c:v>2618.62</c:v>
                </c:pt>
                <c:pt idx="298">
                  <c:v>2634.45</c:v>
                </c:pt>
                <c:pt idx="299">
                  <c:v>2642.49</c:v>
                </c:pt>
                <c:pt idx="300">
                  <c:v>2646.15</c:v>
                </c:pt>
                <c:pt idx="301">
                  <c:v>2655.12</c:v>
                </c:pt>
                <c:pt idx="302">
                  <c:v>2654.5</c:v>
                </c:pt>
                <c:pt idx="303">
                  <c:v>2656.9</c:v>
                </c:pt>
                <c:pt idx="304">
                  <c:v>2653.39</c:v>
                </c:pt>
                <c:pt idx="305">
                  <c:v>2654.59</c:v>
                </c:pt>
                <c:pt idx="306">
                  <c:v>2655.77</c:v>
                </c:pt>
                <c:pt idx="307">
                  <c:v>2651.77</c:v>
                </c:pt>
                <c:pt idx="308">
                  <c:v>2635.1</c:v>
                </c:pt>
                <c:pt idx="309">
                  <c:v>2615.96</c:v>
                </c:pt>
                <c:pt idx="310">
                  <c:v>2587.13</c:v>
                </c:pt>
                <c:pt idx="311">
                  <c:v>2572.61</c:v>
                </c:pt>
                <c:pt idx="312">
                  <c:v>2573.77</c:v>
                </c:pt>
                <c:pt idx="313">
                  <c:v>2560.8000000000002</c:v>
                </c:pt>
                <c:pt idx="314">
                  <c:v>2553.7399999999998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BF-4ED8-884C-C97F8D97E1EF}"/>
            </c:ext>
          </c:extLst>
        </c:ser>
        <c:ser>
          <c:idx val="1"/>
          <c:order val="1"/>
          <c:tx>
            <c:strRef>
              <c:f>'Formosa Housing Loan'!$D$1</c:f>
              <c:strCache>
                <c:ptCount val="1"/>
                <c:pt idx="0">
                  <c:v>Taiwan Consumer Housing Loan YoY%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'Formosa Housing Loan'!$A$2:$A$316</c:f>
              <c:numCache>
                <c:formatCode>m/d/yyyy</c:formatCode>
                <c:ptCount val="315"/>
                <c:pt idx="0">
                  <c:v>46234</c:v>
                </c:pt>
                <c:pt idx="1">
                  <c:v>46203</c:v>
                </c:pt>
                <c:pt idx="2">
                  <c:v>46173</c:v>
                </c:pt>
                <c:pt idx="3">
                  <c:v>46142</c:v>
                </c:pt>
                <c:pt idx="4">
                  <c:v>46112</c:v>
                </c:pt>
                <c:pt idx="5">
                  <c:v>46081</c:v>
                </c:pt>
                <c:pt idx="6">
                  <c:v>46053</c:v>
                </c:pt>
                <c:pt idx="7">
                  <c:v>46022</c:v>
                </c:pt>
                <c:pt idx="8">
                  <c:v>45991</c:v>
                </c:pt>
                <c:pt idx="9">
                  <c:v>45961</c:v>
                </c:pt>
                <c:pt idx="10">
                  <c:v>45930</c:v>
                </c:pt>
                <c:pt idx="11">
                  <c:v>45900</c:v>
                </c:pt>
                <c:pt idx="12">
                  <c:v>45869</c:v>
                </c:pt>
                <c:pt idx="13">
                  <c:v>45838</c:v>
                </c:pt>
                <c:pt idx="14">
                  <c:v>45808</c:v>
                </c:pt>
                <c:pt idx="15">
                  <c:v>45777</c:v>
                </c:pt>
                <c:pt idx="16">
                  <c:v>45747</c:v>
                </c:pt>
                <c:pt idx="17">
                  <c:v>45716</c:v>
                </c:pt>
                <c:pt idx="18">
                  <c:v>45688</c:v>
                </c:pt>
                <c:pt idx="19">
                  <c:v>45657</c:v>
                </c:pt>
                <c:pt idx="20">
                  <c:v>45626</c:v>
                </c:pt>
                <c:pt idx="21">
                  <c:v>45596</c:v>
                </c:pt>
                <c:pt idx="22">
                  <c:v>45565</c:v>
                </c:pt>
                <c:pt idx="23">
                  <c:v>45535</c:v>
                </c:pt>
                <c:pt idx="24">
                  <c:v>45504</c:v>
                </c:pt>
                <c:pt idx="25">
                  <c:v>45473</c:v>
                </c:pt>
                <c:pt idx="26">
                  <c:v>45443</c:v>
                </c:pt>
                <c:pt idx="27">
                  <c:v>45412</c:v>
                </c:pt>
                <c:pt idx="28">
                  <c:v>45382</c:v>
                </c:pt>
                <c:pt idx="29">
                  <c:v>45351</c:v>
                </c:pt>
                <c:pt idx="30">
                  <c:v>45322</c:v>
                </c:pt>
                <c:pt idx="31">
                  <c:v>45291</c:v>
                </c:pt>
                <c:pt idx="32">
                  <c:v>45260</c:v>
                </c:pt>
                <c:pt idx="33">
                  <c:v>45230</c:v>
                </c:pt>
                <c:pt idx="34">
                  <c:v>45199</c:v>
                </c:pt>
                <c:pt idx="35">
                  <c:v>45169</c:v>
                </c:pt>
                <c:pt idx="36">
                  <c:v>45138</c:v>
                </c:pt>
                <c:pt idx="37">
                  <c:v>45107</c:v>
                </c:pt>
                <c:pt idx="38">
                  <c:v>45077</c:v>
                </c:pt>
                <c:pt idx="39">
                  <c:v>45046</c:v>
                </c:pt>
                <c:pt idx="40">
                  <c:v>45016</c:v>
                </c:pt>
                <c:pt idx="41">
                  <c:v>44985</c:v>
                </c:pt>
                <c:pt idx="42">
                  <c:v>44957</c:v>
                </c:pt>
                <c:pt idx="43">
                  <c:v>44926</c:v>
                </c:pt>
                <c:pt idx="44">
                  <c:v>44895</c:v>
                </c:pt>
                <c:pt idx="45">
                  <c:v>44865</c:v>
                </c:pt>
                <c:pt idx="46">
                  <c:v>44834</c:v>
                </c:pt>
                <c:pt idx="47">
                  <c:v>44804</c:v>
                </c:pt>
                <c:pt idx="48">
                  <c:v>44773</c:v>
                </c:pt>
                <c:pt idx="49">
                  <c:v>44742</c:v>
                </c:pt>
                <c:pt idx="50">
                  <c:v>44712</c:v>
                </c:pt>
                <c:pt idx="51">
                  <c:v>44681</c:v>
                </c:pt>
                <c:pt idx="52">
                  <c:v>44651</c:v>
                </c:pt>
                <c:pt idx="53">
                  <c:v>44620</c:v>
                </c:pt>
                <c:pt idx="54">
                  <c:v>44592</c:v>
                </c:pt>
                <c:pt idx="55">
                  <c:v>44561</c:v>
                </c:pt>
                <c:pt idx="56">
                  <c:v>44530</c:v>
                </c:pt>
                <c:pt idx="57">
                  <c:v>44500</c:v>
                </c:pt>
                <c:pt idx="58">
                  <c:v>44469</c:v>
                </c:pt>
                <c:pt idx="59">
                  <c:v>44439</c:v>
                </c:pt>
                <c:pt idx="60">
                  <c:v>44408</c:v>
                </c:pt>
                <c:pt idx="61">
                  <c:v>44377</c:v>
                </c:pt>
                <c:pt idx="62">
                  <c:v>44347</c:v>
                </c:pt>
                <c:pt idx="63">
                  <c:v>44316</c:v>
                </c:pt>
                <c:pt idx="64">
                  <c:v>44286</c:v>
                </c:pt>
                <c:pt idx="65">
                  <c:v>44255</c:v>
                </c:pt>
                <c:pt idx="66">
                  <c:v>44227</c:v>
                </c:pt>
                <c:pt idx="67">
                  <c:v>44196</c:v>
                </c:pt>
                <c:pt idx="68">
                  <c:v>44165</c:v>
                </c:pt>
                <c:pt idx="69">
                  <c:v>44135</c:v>
                </c:pt>
                <c:pt idx="70">
                  <c:v>44104</c:v>
                </c:pt>
                <c:pt idx="71">
                  <c:v>44074</c:v>
                </c:pt>
                <c:pt idx="72">
                  <c:v>44043</c:v>
                </c:pt>
                <c:pt idx="73">
                  <c:v>44012</c:v>
                </c:pt>
                <c:pt idx="74">
                  <c:v>43982</c:v>
                </c:pt>
                <c:pt idx="75">
                  <c:v>43951</c:v>
                </c:pt>
                <c:pt idx="76">
                  <c:v>43921</c:v>
                </c:pt>
                <c:pt idx="77">
                  <c:v>43890</c:v>
                </c:pt>
                <c:pt idx="78">
                  <c:v>43861</c:v>
                </c:pt>
                <c:pt idx="79">
                  <c:v>43830</c:v>
                </c:pt>
                <c:pt idx="80">
                  <c:v>43799</c:v>
                </c:pt>
                <c:pt idx="81">
                  <c:v>43769</c:v>
                </c:pt>
                <c:pt idx="82">
                  <c:v>43738</c:v>
                </c:pt>
                <c:pt idx="83">
                  <c:v>43708</c:v>
                </c:pt>
                <c:pt idx="84">
                  <c:v>43677</c:v>
                </c:pt>
                <c:pt idx="85">
                  <c:v>43646</c:v>
                </c:pt>
                <c:pt idx="86">
                  <c:v>43616</c:v>
                </c:pt>
                <c:pt idx="87">
                  <c:v>43585</c:v>
                </c:pt>
                <c:pt idx="88">
                  <c:v>43555</c:v>
                </c:pt>
                <c:pt idx="89">
                  <c:v>43524</c:v>
                </c:pt>
                <c:pt idx="90">
                  <c:v>43496</c:v>
                </c:pt>
                <c:pt idx="91">
                  <c:v>43465</c:v>
                </c:pt>
                <c:pt idx="92">
                  <c:v>43434</c:v>
                </c:pt>
                <c:pt idx="93">
                  <c:v>43404</c:v>
                </c:pt>
                <c:pt idx="94">
                  <c:v>43373</c:v>
                </c:pt>
                <c:pt idx="95">
                  <c:v>43343</c:v>
                </c:pt>
                <c:pt idx="96">
                  <c:v>43312</c:v>
                </c:pt>
                <c:pt idx="97">
                  <c:v>43281</c:v>
                </c:pt>
                <c:pt idx="98">
                  <c:v>43251</c:v>
                </c:pt>
                <c:pt idx="99">
                  <c:v>43220</c:v>
                </c:pt>
                <c:pt idx="100">
                  <c:v>43190</c:v>
                </c:pt>
                <c:pt idx="101">
                  <c:v>43159</c:v>
                </c:pt>
                <c:pt idx="102">
                  <c:v>43131</c:v>
                </c:pt>
                <c:pt idx="103">
                  <c:v>43100</c:v>
                </c:pt>
                <c:pt idx="104">
                  <c:v>43069</c:v>
                </c:pt>
                <c:pt idx="105">
                  <c:v>43039</c:v>
                </c:pt>
                <c:pt idx="106">
                  <c:v>43008</c:v>
                </c:pt>
                <c:pt idx="107">
                  <c:v>42978</c:v>
                </c:pt>
                <c:pt idx="108">
                  <c:v>42947</c:v>
                </c:pt>
                <c:pt idx="109">
                  <c:v>42916</c:v>
                </c:pt>
                <c:pt idx="110">
                  <c:v>42886</c:v>
                </c:pt>
                <c:pt idx="111">
                  <c:v>42855</c:v>
                </c:pt>
                <c:pt idx="112">
                  <c:v>42825</c:v>
                </c:pt>
                <c:pt idx="113">
                  <c:v>42794</c:v>
                </c:pt>
                <c:pt idx="114">
                  <c:v>42766</c:v>
                </c:pt>
                <c:pt idx="115">
                  <c:v>42735</c:v>
                </c:pt>
                <c:pt idx="116">
                  <c:v>42704</c:v>
                </c:pt>
                <c:pt idx="117">
                  <c:v>42674</c:v>
                </c:pt>
                <c:pt idx="118">
                  <c:v>42643</c:v>
                </c:pt>
                <c:pt idx="119">
                  <c:v>42613</c:v>
                </c:pt>
                <c:pt idx="120">
                  <c:v>42582</c:v>
                </c:pt>
                <c:pt idx="121">
                  <c:v>42551</c:v>
                </c:pt>
                <c:pt idx="122">
                  <c:v>42521</c:v>
                </c:pt>
                <c:pt idx="123">
                  <c:v>42490</c:v>
                </c:pt>
                <c:pt idx="124">
                  <c:v>42460</c:v>
                </c:pt>
                <c:pt idx="125">
                  <c:v>42429</c:v>
                </c:pt>
                <c:pt idx="126">
                  <c:v>42400</c:v>
                </c:pt>
                <c:pt idx="127">
                  <c:v>42369</c:v>
                </c:pt>
                <c:pt idx="128">
                  <c:v>42338</c:v>
                </c:pt>
                <c:pt idx="129">
                  <c:v>42308</c:v>
                </c:pt>
                <c:pt idx="130">
                  <c:v>42277</c:v>
                </c:pt>
                <c:pt idx="131">
                  <c:v>42247</c:v>
                </c:pt>
                <c:pt idx="132">
                  <c:v>42216</c:v>
                </c:pt>
                <c:pt idx="133">
                  <c:v>42185</c:v>
                </c:pt>
                <c:pt idx="134">
                  <c:v>42155</c:v>
                </c:pt>
                <c:pt idx="135">
                  <c:v>42124</c:v>
                </c:pt>
                <c:pt idx="136">
                  <c:v>42094</c:v>
                </c:pt>
                <c:pt idx="137">
                  <c:v>42063</c:v>
                </c:pt>
                <c:pt idx="138">
                  <c:v>42035</c:v>
                </c:pt>
                <c:pt idx="139">
                  <c:v>42004</c:v>
                </c:pt>
                <c:pt idx="140">
                  <c:v>41973</c:v>
                </c:pt>
                <c:pt idx="141">
                  <c:v>41943</c:v>
                </c:pt>
                <c:pt idx="142">
                  <c:v>41912</c:v>
                </c:pt>
                <c:pt idx="143">
                  <c:v>41882</c:v>
                </c:pt>
                <c:pt idx="144">
                  <c:v>41851</c:v>
                </c:pt>
                <c:pt idx="145">
                  <c:v>41820</c:v>
                </c:pt>
                <c:pt idx="146">
                  <c:v>41790</c:v>
                </c:pt>
                <c:pt idx="147">
                  <c:v>41759</c:v>
                </c:pt>
                <c:pt idx="148">
                  <c:v>41729</c:v>
                </c:pt>
                <c:pt idx="149">
                  <c:v>41698</c:v>
                </c:pt>
                <c:pt idx="150">
                  <c:v>41670</c:v>
                </c:pt>
                <c:pt idx="151">
                  <c:v>41639</c:v>
                </c:pt>
                <c:pt idx="152">
                  <c:v>41608</c:v>
                </c:pt>
                <c:pt idx="153">
                  <c:v>41578</c:v>
                </c:pt>
                <c:pt idx="154">
                  <c:v>41547</c:v>
                </c:pt>
                <c:pt idx="155">
                  <c:v>41517</c:v>
                </c:pt>
                <c:pt idx="156">
                  <c:v>41486</c:v>
                </c:pt>
                <c:pt idx="157">
                  <c:v>41455</c:v>
                </c:pt>
                <c:pt idx="158">
                  <c:v>41425</c:v>
                </c:pt>
                <c:pt idx="159">
                  <c:v>41394</c:v>
                </c:pt>
                <c:pt idx="160">
                  <c:v>41364</c:v>
                </c:pt>
                <c:pt idx="161">
                  <c:v>41333</c:v>
                </c:pt>
                <c:pt idx="162">
                  <c:v>41305</c:v>
                </c:pt>
                <c:pt idx="163">
                  <c:v>41274</c:v>
                </c:pt>
                <c:pt idx="164">
                  <c:v>41243</c:v>
                </c:pt>
                <c:pt idx="165">
                  <c:v>41213</c:v>
                </c:pt>
                <c:pt idx="166">
                  <c:v>41182</c:v>
                </c:pt>
                <c:pt idx="167">
                  <c:v>41152</c:v>
                </c:pt>
                <c:pt idx="168">
                  <c:v>41121</c:v>
                </c:pt>
                <c:pt idx="169">
                  <c:v>41090</c:v>
                </c:pt>
                <c:pt idx="170">
                  <c:v>41060</c:v>
                </c:pt>
                <c:pt idx="171">
                  <c:v>41029</c:v>
                </c:pt>
                <c:pt idx="172">
                  <c:v>40999</c:v>
                </c:pt>
                <c:pt idx="173">
                  <c:v>40968</c:v>
                </c:pt>
                <c:pt idx="174">
                  <c:v>40939</c:v>
                </c:pt>
                <c:pt idx="175">
                  <c:v>40908</c:v>
                </c:pt>
                <c:pt idx="176">
                  <c:v>40877</c:v>
                </c:pt>
                <c:pt idx="177">
                  <c:v>40847</c:v>
                </c:pt>
                <c:pt idx="178">
                  <c:v>40816</c:v>
                </c:pt>
                <c:pt idx="179">
                  <c:v>40786</c:v>
                </c:pt>
                <c:pt idx="180">
                  <c:v>40755</c:v>
                </c:pt>
                <c:pt idx="181">
                  <c:v>40724</c:v>
                </c:pt>
                <c:pt idx="182">
                  <c:v>40694</c:v>
                </c:pt>
                <c:pt idx="183">
                  <c:v>40663</c:v>
                </c:pt>
                <c:pt idx="184">
                  <c:v>40633</c:v>
                </c:pt>
                <c:pt idx="185">
                  <c:v>40602</c:v>
                </c:pt>
                <c:pt idx="186">
                  <c:v>40574</c:v>
                </c:pt>
                <c:pt idx="187">
                  <c:v>40543</c:v>
                </c:pt>
                <c:pt idx="188">
                  <c:v>40512</c:v>
                </c:pt>
                <c:pt idx="189">
                  <c:v>40482</c:v>
                </c:pt>
                <c:pt idx="190">
                  <c:v>40451</c:v>
                </c:pt>
                <c:pt idx="191">
                  <c:v>40421</c:v>
                </c:pt>
                <c:pt idx="192">
                  <c:v>40390</c:v>
                </c:pt>
                <c:pt idx="193">
                  <c:v>40359</c:v>
                </c:pt>
                <c:pt idx="194">
                  <c:v>40329</c:v>
                </c:pt>
                <c:pt idx="195">
                  <c:v>40298</c:v>
                </c:pt>
                <c:pt idx="196">
                  <c:v>40268</c:v>
                </c:pt>
                <c:pt idx="197">
                  <c:v>40237</c:v>
                </c:pt>
                <c:pt idx="198">
                  <c:v>40209</c:v>
                </c:pt>
                <c:pt idx="199">
                  <c:v>40178</c:v>
                </c:pt>
                <c:pt idx="200">
                  <c:v>40147</c:v>
                </c:pt>
                <c:pt idx="201">
                  <c:v>40117</c:v>
                </c:pt>
                <c:pt idx="202">
                  <c:v>40086</c:v>
                </c:pt>
                <c:pt idx="203">
                  <c:v>40056</c:v>
                </c:pt>
                <c:pt idx="204">
                  <c:v>40025</c:v>
                </c:pt>
                <c:pt idx="205">
                  <c:v>39994</c:v>
                </c:pt>
                <c:pt idx="206">
                  <c:v>39964</c:v>
                </c:pt>
                <c:pt idx="207">
                  <c:v>39933</c:v>
                </c:pt>
                <c:pt idx="208">
                  <c:v>39903</c:v>
                </c:pt>
                <c:pt idx="209">
                  <c:v>39872</c:v>
                </c:pt>
                <c:pt idx="210">
                  <c:v>39844</c:v>
                </c:pt>
                <c:pt idx="211">
                  <c:v>39813</c:v>
                </c:pt>
                <c:pt idx="212">
                  <c:v>39782</c:v>
                </c:pt>
                <c:pt idx="213">
                  <c:v>39752</c:v>
                </c:pt>
                <c:pt idx="214">
                  <c:v>39721</c:v>
                </c:pt>
                <c:pt idx="215">
                  <c:v>39691</c:v>
                </c:pt>
                <c:pt idx="216">
                  <c:v>39660</c:v>
                </c:pt>
                <c:pt idx="217">
                  <c:v>39629</c:v>
                </c:pt>
                <c:pt idx="218">
                  <c:v>39599</c:v>
                </c:pt>
                <c:pt idx="219">
                  <c:v>39568</c:v>
                </c:pt>
                <c:pt idx="220">
                  <c:v>39538</c:v>
                </c:pt>
                <c:pt idx="221">
                  <c:v>39507</c:v>
                </c:pt>
                <c:pt idx="222">
                  <c:v>39478</c:v>
                </c:pt>
                <c:pt idx="223">
                  <c:v>39447</c:v>
                </c:pt>
                <c:pt idx="224">
                  <c:v>39416</c:v>
                </c:pt>
                <c:pt idx="225">
                  <c:v>39386</c:v>
                </c:pt>
                <c:pt idx="226">
                  <c:v>39355</c:v>
                </c:pt>
                <c:pt idx="227">
                  <c:v>39325</c:v>
                </c:pt>
                <c:pt idx="228">
                  <c:v>39294</c:v>
                </c:pt>
                <c:pt idx="229">
                  <c:v>39263</c:v>
                </c:pt>
                <c:pt idx="230">
                  <c:v>39233</c:v>
                </c:pt>
                <c:pt idx="231">
                  <c:v>39202</c:v>
                </c:pt>
                <c:pt idx="232">
                  <c:v>39172</c:v>
                </c:pt>
                <c:pt idx="233">
                  <c:v>39141</c:v>
                </c:pt>
                <c:pt idx="234">
                  <c:v>39113</c:v>
                </c:pt>
                <c:pt idx="235">
                  <c:v>39082</c:v>
                </c:pt>
                <c:pt idx="236">
                  <c:v>39051</c:v>
                </c:pt>
                <c:pt idx="237">
                  <c:v>39021</c:v>
                </c:pt>
                <c:pt idx="238">
                  <c:v>38990</c:v>
                </c:pt>
                <c:pt idx="239">
                  <c:v>38960</c:v>
                </c:pt>
                <c:pt idx="240">
                  <c:v>38929</c:v>
                </c:pt>
                <c:pt idx="241">
                  <c:v>38898</c:v>
                </c:pt>
                <c:pt idx="242">
                  <c:v>38868</c:v>
                </c:pt>
                <c:pt idx="243">
                  <c:v>38837</c:v>
                </c:pt>
                <c:pt idx="244">
                  <c:v>38807</c:v>
                </c:pt>
                <c:pt idx="245">
                  <c:v>38776</c:v>
                </c:pt>
                <c:pt idx="246">
                  <c:v>38748</c:v>
                </c:pt>
                <c:pt idx="247">
                  <c:v>38717</c:v>
                </c:pt>
                <c:pt idx="248">
                  <c:v>38686</c:v>
                </c:pt>
                <c:pt idx="249">
                  <c:v>38656</c:v>
                </c:pt>
                <c:pt idx="250">
                  <c:v>38625</c:v>
                </c:pt>
                <c:pt idx="251">
                  <c:v>38595</c:v>
                </c:pt>
                <c:pt idx="252">
                  <c:v>38564</c:v>
                </c:pt>
                <c:pt idx="253">
                  <c:v>38533</c:v>
                </c:pt>
                <c:pt idx="254">
                  <c:v>38503</c:v>
                </c:pt>
                <c:pt idx="255">
                  <c:v>38472</c:v>
                </c:pt>
                <c:pt idx="256">
                  <c:v>38442</c:v>
                </c:pt>
                <c:pt idx="257">
                  <c:v>38411</c:v>
                </c:pt>
                <c:pt idx="258">
                  <c:v>38383</c:v>
                </c:pt>
                <c:pt idx="259">
                  <c:v>38352</c:v>
                </c:pt>
                <c:pt idx="260">
                  <c:v>38321</c:v>
                </c:pt>
                <c:pt idx="261">
                  <c:v>38291</c:v>
                </c:pt>
                <c:pt idx="262">
                  <c:v>38260</c:v>
                </c:pt>
                <c:pt idx="263">
                  <c:v>38230</c:v>
                </c:pt>
                <c:pt idx="264">
                  <c:v>38199</c:v>
                </c:pt>
                <c:pt idx="265">
                  <c:v>38168</c:v>
                </c:pt>
                <c:pt idx="266">
                  <c:v>38138</c:v>
                </c:pt>
                <c:pt idx="267">
                  <c:v>38107</c:v>
                </c:pt>
                <c:pt idx="268">
                  <c:v>38077</c:v>
                </c:pt>
                <c:pt idx="269">
                  <c:v>38046</c:v>
                </c:pt>
                <c:pt idx="270">
                  <c:v>38017</c:v>
                </c:pt>
                <c:pt idx="271">
                  <c:v>37986</c:v>
                </c:pt>
                <c:pt idx="272">
                  <c:v>37955</c:v>
                </c:pt>
                <c:pt idx="273">
                  <c:v>37925</c:v>
                </c:pt>
                <c:pt idx="274">
                  <c:v>37894</c:v>
                </c:pt>
                <c:pt idx="275">
                  <c:v>37864</c:v>
                </c:pt>
                <c:pt idx="276">
                  <c:v>37833</c:v>
                </c:pt>
                <c:pt idx="277">
                  <c:v>37802</c:v>
                </c:pt>
                <c:pt idx="278">
                  <c:v>37772</c:v>
                </c:pt>
                <c:pt idx="279">
                  <c:v>37741</c:v>
                </c:pt>
                <c:pt idx="280">
                  <c:v>37711</c:v>
                </c:pt>
                <c:pt idx="281">
                  <c:v>37680</c:v>
                </c:pt>
                <c:pt idx="282">
                  <c:v>37652</c:v>
                </c:pt>
                <c:pt idx="283">
                  <c:v>37621</c:v>
                </c:pt>
                <c:pt idx="284">
                  <c:v>37590</c:v>
                </c:pt>
                <c:pt idx="285">
                  <c:v>37560</c:v>
                </c:pt>
                <c:pt idx="286">
                  <c:v>37529</c:v>
                </c:pt>
                <c:pt idx="287">
                  <c:v>37499</c:v>
                </c:pt>
                <c:pt idx="288">
                  <c:v>37468</c:v>
                </c:pt>
                <c:pt idx="289">
                  <c:v>37437</c:v>
                </c:pt>
                <c:pt idx="290">
                  <c:v>37407</c:v>
                </c:pt>
                <c:pt idx="291">
                  <c:v>37376</c:v>
                </c:pt>
                <c:pt idx="292">
                  <c:v>37346</c:v>
                </c:pt>
                <c:pt idx="293">
                  <c:v>37315</c:v>
                </c:pt>
                <c:pt idx="294">
                  <c:v>37287</c:v>
                </c:pt>
                <c:pt idx="295">
                  <c:v>37256</c:v>
                </c:pt>
                <c:pt idx="296">
                  <c:v>37225</c:v>
                </c:pt>
                <c:pt idx="297">
                  <c:v>37195</c:v>
                </c:pt>
                <c:pt idx="298">
                  <c:v>37164</c:v>
                </c:pt>
                <c:pt idx="299">
                  <c:v>37134</c:v>
                </c:pt>
                <c:pt idx="300">
                  <c:v>37103</c:v>
                </c:pt>
                <c:pt idx="301">
                  <c:v>37072</c:v>
                </c:pt>
                <c:pt idx="302">
                  <c:v>37042</c:v>
                </c:pt>
                <c:pt idx="303">
                  <c:v>37011</c:v>
                </c:pt>
                <c:pt idx="304">
                  <c:v>36981</c:v>
                </c:pt>
                <c:pt idx="305">
                  <c:v>36950</c:v>
                </c:pt>
                <c:pt idx="306">
                  <c:v>36922</c:v>
                </c:pt>
                <c:pt idx="307">
                  <c:v>36891</c:v>
                </c:pt>
                <c:pt idx="308">
                  <c:v>36860</c:v>
                </c:pt>
                <c:pt idx="309">
                  <c:v>36830</c:v>
                </c:pt>
                <c:pt idx="310">
                  <c:v>36799</c:v>
                </c:pt>
                <c:pt idx="311">
                  <c:v>36769</c:v>
                </c:pt>
                <c:pt idx="312">
                  <c:v>36738</c:v>
                </c:pt>
                <c:pt idx="313">
                  <c:v>36707</c:v>
                </c:pt>
                <c:pt idx="314">
                  <c:v>36677</c:v>
                </c:pt>
              </c:numCache>
            </c:numRef>
          </c:cat>
          <c:val>
            <c:numRef>
              <c:f>'Formosa Housing Loan'!$D$2:$D$316</c:f>
              <c:numCache>
                <c:formatCode>0%</c:formatCode>
                <c:ptCount val="315"/>
                <c:pt idx="0">
                  <c:v>4.5178996522393433E-2</c:v>
                </c:pt>
                <c:pt idx="1">
                  <c:v>4.3630028245018604E-2</c:v>
                </c:pt>
                <c:pt idx="2">
                  <c:v>4.3417035130264292E-2</c:v>
                </c:pt>
                <c:pt idx="3">
                  <c:v>4.4986342110518329E-2</c:v>
                </c:pt>
                <c:pt idx="4">
                  <c:v>4.4688902988059942E-2</c:v>
                </c:pt>
                <c:pt idx="5">
                  <c:v>4.4880907664575309E-2</c:v>
                </c:pt>
                <c:pt idx="6">
                  <c:v>4.5538571752567591E-2</c:v>
                </c:pt>
                <c:pt idx="7">
                  <c:v>4.4636267339400293E-2</c:v>
                </c:pt>
                <c:pt idx="8">
                  <c:v>4.8057553433643374E-2</c:v>
                </c:pt>
                <c:pt idx="9">
                  <c:v>5.0982362042478524E-2</c:v>
                </c:pt>
                <c:pt idx="10">
                  <c:v>5.4257826887661231E-2</c:v>
                </c:pt>
                <c:pt idx="11">
                  <c:v>6.276409875688671E-2</c:v>
                </c:pt>
                <c:pt idx="12">
                  <c:v>6.7433611710612684E-2</c:v>
                </c:pt>
                <c:pt idx="13">
                  <c:v>7.3841988220650245E-2</c:v>
                </c:pt>
                <c:pt idx="14">
                  <c:v>8.0143076352434894E-2</c:v>
                </c:pt>
                <c:pt idx="15">
                  <c:v>8.8043890510403511E-2</c:v>
                </c:pt>
                <c:pt idx="16">
                  <c:v>9.3398889459651135E-2</c:v>
                </c:pt>
                <c:pt idx="17">
                  <c:v>9.7729245580808088E-2</c:v>
                </c:pt>
                <c:pt idx="18">
                  <c:v>9.8602132889327399E-2</c:v>
                </c:pt>
                <c:pt idx="19">
                  <c:v>0.10415244941814294</c:v>
                </c:pt>
                <c:pt idx="20">
                  <c:v>0.1075719834798945</c:v>
                </c:pt>
                <c:pt idx="21">
                  <c:v>0.110723003969601</c:v>
                </c:pt>
                <c:pt idx="22">
                  <c:v>0.11261599995082361</c:v>
                </c:pt>
                <c:pt idx="23">
                  <c:v>0.11025127486332065</c:v>
                </c:pt>
                <c:pt idx="24">
                  <c:v>0.10820866809062002</c:v>
                </c:pt>
                <c:pt idx="25">
                  <c:v>0.10212258725611156</c:v>
                </c:pt>
                <c:pt idx="26">
                  <c:v>9.7905122285382395E-2</c:v>
                </c:pt>
                <c:pt idx="27">
                  <c:v>9.1161092294665735E-2</c:v>
                </c:pt>
                <c:pt idx="28">
                  <c:v>8.5537636007528395E-2</c:v>
                </c:pt>
                <c:pt idx="29">
                  <c:v>7.9838561067397285E-2</c:v>
                </c:pt>
                <c:pt idx="30">
                  <c:v>7.9809319432655679E-2</c:v>
                </c:pt>
                <c:pt idx="31">
                  <c:v>7.0419756562095426E-2</c:v>
                </c:pt>
                <c:pt idx="32">
                  <c:v>6.5631092127723667E-2</c:v>
                </c:pt>
                <c:pt idx="33">
                  <c:v>6.1535938757500741E-2</c:v>
                </c:pt>
                <c:pt idx="34">
                  <c:v>5.6056312732143398E-2</c:v>
                </c:pt>
                <c:pt idx="35">
                  <c:v>5.1467601552640518E-2</c:v>
                </c:pt>
                <c:pt idx="36">
                  <c:v>4.7256245310367984E-2</c:v>
                </c:pt>
                <c:pt idx="37">
                  <c:v>4.6297785377562128E-2</c:v>
                </c:pt>
                <c:pt idx="38">
                  <c:v>4.5379593318409572E-2</c:v>
                </c:pt>
                <c:pt idx="39">
                  <c:v>4.724693102779387E-2</c:v>
                </c:pt>
                <c:pt idx="40">
                  <c:v>5.061754295126164E-2</c:v>
                </c:pt>
                <c:pt idx="41">
                  <c:v>5.5362263773397702E-2</c:v>
                </c:pt>
                <c:pt idx="42">
                  <c:v>5.6052901581861159E-2</c:v>
                </c:pt>
                <c:pt idx="43">
                  <c:v>6.5241246753954929E-2</c:v>
                </c:pt>
                <c:pt idx="44">
                  <c:v>7.1383987226749435E-2</c:v>
                </c:pt>
                <c:pt idx="45">
                  <c:v>7.6008172172822741E-2</c:v>
                </c:pt>
                <c:pt idx="46">
                  <c:v>8.1728861762451199E-2</c:v>
                </c:pt>
                <c:pt idx="47">
                  <c:v>8.5360922932931516E-2</c:v>
                </c:pt>
                <c:pt idx="48">
                  <c:v>8.6403642132985459E-2</c:v>
                </c:pt>
                <c:pt idx="49">
                  <c:v>8.7274738607572511E-2</c:v>
                </c:pt>
                <c:pt idx="50">
                  <c:v>9.2028998564487097E-2</c:v>
                </c:pt>
                <c:pt idx="51">
                  <c:v>9.390478569323979E-2</c:v>
                </c:pt>
                <c:pt idx="52">
                  <c:v>9.451102960484925E-2</c:v>
                </c:pt>
                <c:pt idx="53">
                  <c:v>9.3906135674715285E-2</c:v>
                </c:pt>
                <c:pt idx="54">
                  <c:v>9.4197212846173439E-2</c:v>
                </c:pt>
                <c:pt idx="55">
                  <c:v>9.4589856135682604E-2</c:v>
                </c:pt>
                <c:pt idx="56">
                  <c:v>9.4358776955068002E-2</c:v>
                </c:pt>
                <c:pt idx="57">
                  <c:v>9.3656371558281881E-2</c:v>
                </c:pt>
                <c:pt idx="58">
                  <c:v>9.3846214901764036E-2</c:v>
                </c:pt>
                <c:pt idx="59">
                  <c:v>9.6365346987621558E-2</c:v>
                </c:pt>
                <c:pt idx="60">
                  <c:v>0.10196751276712535</c:v>
                </c:pt>
                <c:pt idx="61">
                  <c:v>0.10415886837802146</c:v>
                </c:pt>
                <c:pt idx="62">
                  <c:v>9.9911738046979615E-2</c:v>
                </c:pt>
                <c:pt idx="63">
                  <c:v>9.50700344828046E-2</c:v>
                </c:pt>
                <c:pt idx="64">
                  <c:v>9.2523081398374396E-2</c:v>
                </c:pt>
                <c:pt idx="65">
                  <c:v>9.0681935234661726E-2</c:v>
                </c:pt>
                <c:pt idx="66">
                  <c:v>9.1659854252495343E-2</c:v>
                </c:pt>
                <c:pt idx="67">
                  <c:v>8.4957268416401943E-2</c:v>
                </c:pt>
                <c:pt idx="68">
                  <c:v>8.0648932583658794E-2</c:v>
                </c:pt>
                <c:pt idx="69">
                  <c:v>7.8004245296575458E-2</c:v>
                </c:pt>
                <c:pt idx="70">
                  <c:v>7.6523939399368635E-2</c:v>
                </c:pt>
                <c:pt idx="71">
                  <c:v>7.1786333641758127E-2</c:v>
                </c:pt>
                <c:pt idx="72">
                  <c:v>6.5399777199323328E-2</c:v>
                </c:pt>
                <c:pt idx="73">
                  <c:v>6.588485304946512E-2</c:v>
                </c:pt>
                <c:pt idx="74">
                  <c:v>6.5949496699356125E-2</c:v>
                </c:pt>
                <c:pt idx="75">
                  <c:v>6.7309777178788499E-2</c:v>
                </c:pt>
                <c:pt idx="76">
                  <c:v>6.665252838094804E-2</c:v>
                </c:pt>
                <c:pt idx="77">
                  <c:v>6.4522346739616099E-2</c:v>
                </c:pt>
                <c:pt idx="78">
                  <c:v>6.1522581678182364E-2</c:v>
                </c:pt>
                <c:pt idx="79">
                  <c:v>6.2362592476875367E-2</c:v>
                </c:pt>
                <c:pt idx="80">
                  <c:v>5.9737056682926504E-2</c:v>
                </c:pt>
                <c:pt idx="81">
                  <c:v>5.8176530986113306E-2</c:v>
                </c:pt>
                <c:pt idx="82">
                  <c:v>5.6099985590757129E-2</c:v>
                </c:pt>
                <c:pt idx="83">
                  <c:v>5.5987455954691567E-2</c:v>
                </c:pt>
                <c:pt idx="84">
                  <c:v>5.5986223830485127E-2</c:v>
                </c:pt>
                <c:pt idx="85">
                  <c:v>5.2901396160558445E-2</c:v>
                </c:pt>
                <c:pt idx="86">
                  <c:v>5.1581342030196264E-2</c:v>
                </c:pt>
                <c:pt idx="87">
                  <c:v>5.0294488444472929E-2</c:v>
                </c:pt>
                <c:pt idx="88">
                  <c:v>4.8678226370992173E-2</c:v>
                </c:pt>
                <c:pt idx="89">
                  <c:v>4.8864642096072997E-2</c:v>
                </c:pt>
                <c:pt idx="90">
                  <c:v>4.8165852488986083E-2</c:v>
                </c:pt>
                <c:pt idx="91">
                  <c:v>4.958647849357245E-2</c:v>
                </c:pt>
                <c:pt idx="92">
                  <c:v>5.0120118848069328E-2</c:v>
                </c:pt>
                <c:pt idx="93">
                  <c:v>5.033562661709956E-2</c:v>
                </c:pt>
                <c:pt idx="94">
                  <c:v>4.7921115246171819E-2</c:v>
                </c:pt>
                <c:pt idx="95">
                  <c:v>4.6956545708475295E-2</c:v>
                </c:pt>
                <c:pt idx="96">
                  <c:v>4.7702838104487943E-2</c:v>
                </c:pt>
                <c:pt idx="97">
                  <c:v>4.646879714209029E-2</c:v>
                </c:pt>
                <c:pt idx="98">
                  <c:v>4.7465830993344671E-2</c:v>
                </c:pt>
                <c:pt idx="99">
                  <c:v>4.6334481663063976E-2</c:v>
                </c:pt>
                <c:pt idx="100">
                  <c:v>4.7106188978026875E-2</c:v>
                </c:pt>
                <c:pt idx="101">
                  <c:v>4.6638986719581554E-2</c:v>
                </c:pt>
                <c:pt idx="102">
                  <c:v>4.546964199550052E-2</c:v>
                </c:pt>
                <c:pt idx="103">
                  <c:v>4.4401083397746399E-2</c:v>
                </c:pt>
                <c:pt idx="104">
                  <c:v>4.5144356955380438E-2</c:v>
                </c:pt>
                <c:pt idx="105">
                  <c:v>4.3785097698019859E-2</c:v>
                </c:pt>
                <c:pt idx="106">
                  <c:v>4.4538334575996652E-2</c:v>
                </c:pt>
                <c:pt idx="107">
                  <c:v>4.5702902310446492E-2</c:v>
                </c:pt>
                <c:pt idx="108">
                  <c:v>4.4363911830697544E-2</c:v>
                </c:pt>
                <c:pt idx="109">
                  <c:v>4.5717244416199065E-2</c:v>
                </c:pt>
                <c:pt idx="110">
                  <c:v>4.5182212493412699E-2</c:v>
                </c:pt>
                <c:pt idx="111">
                  <c:v>4.5909159027085478E-2</c:v>
                </c:pt>
                <c:pt idx="112">
                  <c:v>4.4920589556199708E-2</c:v>
                </c:pt>
                <c:pt idx="113">
                  <c:v>4.1797162031971924E-2</c:v>
                </c:pt>
                <c:pt idx="114">
                  <c:v>4.0107413695897876E-2</c:v>
                </c:pt>
                <c:pt idx="115">
                  <c:v>3.7976087197584052E-2</c:v>
                </c:pt>
                <c:pt idx="116">
                  <c:v>4.9250712954959974E-2</c:v>
                </c:pt>
                <c:pt idx="117">
                  <c:v>5.0061601711177017E-2</c:v>
                </c:pt>
                <c:pt idx="118">
                  <c:v>5.0054954890148773E-2</c:v>
                </c:pt>
                <c:pt idx="119">
                  <c:v>4.7336325396985179E-2</c:v>
                </c:pt>
                <c:pt idx="120">
                  <c:v>4.7396193175418766E-2</c:v>
                </c:pt>
                <c:pt idx="121">
                  <c:v>4.6049157120898521E-2</c:v>
                </c:pt>
                <c:pt idx="122">
                  <c:v>4.3743378497760999E-2</c:v>
                </c:pt>
                <c:pt idx="123">
                  <c:v>4.1803982527652606E-2</c:v>
                </c:pt>
                <c:pt idx="124">
                  <c:v>4.145760693936551E-2</c:v>
                </c:pt>
                <c:pt idx="125">
                  <c:v>4.2833108559129141E-2</c:v>
                </c:pt>
                <c:pt idx="126">
                  <c:v>4.5001140864400657E-2</c:v>
                </c:pt>
                <c:pt idx="127">
                  <c:v>4.5215612749275547E-2</c:v>
                </c:pt>
                <c:pt idx="128">
                  <c:v>3.2002410624553557E-2</c:v>
                </c:pt>
                <c:pt idx="129">
                  <c:v>3.1128752494786971E-2</c:v>
                </c:pt>
                <c:pt idx="130">
                  <c:v>2.9371094200689951E-2</c:v>
                </c:pt>
                <c:pt idx="131">
                  <c:v>2.9327274987224872E-2</c:v>
                </c:pt>
                <c:pt idx="132">
                  <c:v>2.9515907958132637E-2</c:v>
                </c:pt>
                <c:pt idx="133">
                  <c:v>3.0615669533009315E-2</c:v>
                </c:pt>
                <c:pt idx="134">
                  <c:v>3.2029203199776424E-2</c:v>
                </c:pt>
                <c:pt idx="135">
                  <c:v>3.3639948359574401E-2</c:v>
                </c:pt>
                <c:pt idx="136">
                  <c:v>3.533285788495899E-2</c:v>
                </c:pt>
                <c:pt idx="137">
                  <c:v>3.6642671289219164E-2</c:v>
                </c:pt>
                <c:pt idx="138">
                  <c:v>3.6003281204519677E-2</c:v>
                </c:pt>
                <c:pt idx="139">
                  <c:v>3.9001057241573323E-2</c:v>
                </c:pt>
                <c:pt idx="140">
                  <c:v>4.315080725817988E-2</c:v>
                </c:pt>
                <c:pt idx="141">
                  <c:v>4.5208713651195165E-2</c:v>
                </c:pt>
                <c:pt idx="142">
                  <c:v>4.70905586278898E-2</c:v>
                </c:pt>
                <c:pt idx="143">
                  <c:v>4.9485182346727941E-2</c:v>
                </c:pt>
                <c:pt idx="144">
                  <c:v>4.9270825199612789E-2</c:v>
                </c:pt>
                <c:pt idx="145">
                  <c:v>4.8613707023094088E-2</c:v>
                </c:pt>
                <c:pt idx="146">
                  <c:v>4.7798221887112691E-2</c:v>
                </c:pt>
                <c:pt idx="147">
                  <c:v>4.7250603445425421E-2</c:v>
                </c:pt>
                <c:pt idx="148">
                  <c:v>4.5678521317380039E-2</c:v>
                </c:pt>
                <c:pt idx="149">
                  <c:v>4.3414676374539996E-2</c:v>
                </c:pt>
                <c:pt idx="150">
                  <c:v>4.1470311027332674E-2</c:v>
                </c:pt>
                <c:pt idx="151">
                  <c:v>4.1776054225480808E-2</c:v>
                </c:pt>
                <c:pt idx="152">
                  <c:v>3.6224937354953912E-2</c:v>
                </c:pt>
                <c:pt idx="153">
                  <c:v>3.3482445438525188E-2</c:v>
                </c:pt>
                <c:pt idx="154">
                  <c:v>3.2037217957664454E-2</c:v>
                </c:pt>
                <c:pt idx="155">
                  <c:v>2.8725274028900349E-2</c:v>
                </c:pt>
                <c:pt idx="156">
                  <c:v>2.9192387552306132E-2</c:v>
                </c:pt>
                <c:pt idx="157">
                  <c:v>3.0892661442071034E-2</c:v>
                </c:pt>
                <c:pt idx="158">
                  <c:v>3.2754227998155416E-2</c:v>
                </c:pt>
                <c:pt idx="159">
                  <c:v>3.3456035204489254E-2</c:v>
                </c:pt>
                <c:pt idx="160">
                  <c:v>3.4306228752630563E-2</c:v>
                </c:pt>
                <c:pt idx="161">
                  <c:v>3.5262778538386108E-2</c:v>
                </c:pt>
                <c:pt idx="162">
                  <c:v>3.5236140723932996E-2</c:v>
                </c:pt>
                <c:pt idx="163">
                  <c:v>2.7741646789356089E-2</c:v>
                </c:pt>
                <c:pt idx="164">
                  <c:v>2.8581979742295704E-2</c:v>
                </c:pt>
                <c:pt idx="165">
                  <c:v>2.5681999554317159E-2</c:v>
                </c:pt>
                <c:pt idx="166">
                  <c:v>2.4476870986929411E-2</c:v>
                </c:pt>
                <c:pt idx="167">
                  <c:v>2.5321003437923428E-2</c:v>
                </c:pt>
                <c:pt idx="168">
                  <c:v>2.3301401641272479E-2</c:v>
                </c:pt>
                <c:pt idx="169">
                  <c:v>1.9969092484795503E-2</c:v>
                </c:pt>
                <c:pt idx="170">
                  <c:v>1.6546264986166515E-2</c:v>
                </c:pt>
                <c:pt idx="171">
                  <c:v>1.5002938541134769E-2</c:v>
                </c:pt>
                <c:pt idx="172">
                  <c:v>1.6004442776038408E-2</c:v>
                </c:pt>
                <c:pt idx="173">
                  <c:v>2.1503952130332848E-2</c:v>
                </c:pt>
                <c:pt idx="174">
                  <c:v>2.3171681002607691E-2</c:v>
                </c:pt>
                <c:pt idx="175">
                  <c:v>3.2247331316080929E-2</c:v>
                </c:pt>
                <c:pt idx="176">
                  <c:v>3.8064054632974242E-2</c:v>
                </c:pt>
                <c:pt idx="177">
                  <c:v>4.3180662184286289E-2</c:v>
                </c:pt>
                <c:pt idx="178">
                  <c:v>4.6896548971237628E-2</c:v>
                </c:pt>
                <c:pt idx="179">
                  <c:v>4.7328644567823597E-2</c:v>
                </c:pt>
                <c:pt idx="180">
                  <c:v>4.8988099536981133E-2</c:v>
                </c:pt>
                <c:pt idx="181">
                  <c:v>5.2381375152341869E-2</c:v>
                </c:pt>
                <c:pt idx="182">
                  <c:v>5.5853874757326727E-2</c:v>
                </c:pt>
                <c:pt idx="183">
                  <c:v>6.0068469925933066E-2</c:v>
                </c:pt>
                <c:pt idx="184">
                  <c:v>6.182838780198141E-2</c:v>
                </c:pt>
                <c:pt idx="185">
                  <c:v>5.9951771011404587E-2</c:v>
                </c:pt>
                <c:pt idx="186">
                  <c:v>6.2280224834774689E-2</c:v>
                </c:pt>
                <c:pt idx="187">
                  <c:v>6.0749691175402187E-2</c:v>
                </c:pt>
                <c:pt idx="188">
                  <c:v>5.8690872423971863E-2</c:v>
                </c:pt>
                <c:pt idx="189">
                  <c:v>5.8633483934475983E-2</c:v>
                </c:pt>
                <c:pt idx="190">
                  <c:v>5.8160506863780492E-2</c:v>
                </c:pt>
                <c:pt idx="191">
                  <c:v>6.1578406125969876E-2</c:v>
                </c:pt>
                <c:pt idx="192">
                  <c:v>7.0670968240807985E-2</c:v>
                </c:pt>
                <c:pt idx="193">
                  <c:v>7.3885477293509583E-2</c:v>
                </c:pt>
                <c:pt idx="194">
                  <c:v>7.5000817786307072E-2</c:v>
                </c:pt>
                <c:pt idx="195">
                  <c:v>7.3507354682525117E-2</c:v>
                </c:pt>
                <c:pt idx="196">
                  <c:v>7.1127220868738572E-2</c:v>
                </c:pt>
                <c:pt idx="197">
                  <c:v>6.6567428422948716E-2</c:v>
                </c:pt>
                <c:pt idx="198">
                  <c:v>6.0664465230909626E-2</c:v>
                </c:pt>
                <c:pt idx="199">
                  <c:v>4.995095367847413E-2</c:v>
                </c:pt>
                <c:pt idx="200">
                  <c:v>4.406124410274348E-2</c:v>
                </c:pt>
                <c:pt idx="201">
                  <c:v>3.9752783482157383E-2</c:v>
                </c:pt>
                <c:pt idx="202">
                  <c:v>3.2348369063996962E-2</c:v>
                </c:pt>
                <c:pt idx="203">
                  <c:v>2.581024825090994E-2</c:v>
                </c:pt>
                <c:pt idx="204">
                  <c:v>1.2302460492098488E-2</c:v>
                </c:pt>
                <c:pt idx="205">
                  <c:v>4.0379251678479555E-3</c:v>
                </c:pt>
                <c:pt idx="206">
                  <c:v>5.2217031696308869E-3</c:v>
                </c:pt>
                <c:pt idx="207">
                  <c:v>6.9420524098460223E-3</c:v>
                </c:pt>
                <c:pt idx="208">
                  <c:v>9.5470643388153587E-3</c:v>
                </c:pt>
                <c:pt idx="209">
                  <c:v>1.1614748547599696E-2</c:v>
                </c:pt>
                <c:pt idx="210">
                  <c:v>1.3912602710489885E-2</c:v>
                </c:pt>
                <c:pt idx="211">
                  <c:v>1.8188678407741632E-2</c:v>
                </c:pt>
                <c:pt idx="212">
                  <c:v>2.1396589841806701E-2</c:v>
                </c:pt>
                <c:pt idx="213">
                  <c:v>2.3752804259339788E-2</c:v>
                </c:pt>
                <c:pt idx="214">
                  <c:v>2.950960234873734E-2</c:v>
                </c:pt>
                <c:pt idx="215">
                  <c:v>3.3968319071882691E-2</c:v>
                </c:pt>
                <c:pt idx="216">
                  <c:v>4.0718329810777609E-2</c:v>
                </c:pt>
                <c:pt idx="217">
                  <c:v>4.6944186300770907E-2</c:v>
                </c:pt>
                <c:pt idx="218">
                  <c:v>4.4435794992730537E-2</c:v>
                </c:pt>
                <c:pt idx="219">
                  <c:v>4.792932541684225E-2</c:v>
                </c:pt>
                <c:pt idx="220">
                  <c:v>4.3728506199722128E-2</c:v>
                </c:pt>
                <c:pt idx="221">
                  <c:v>4.3054774595591816E-2</c:v>
                </c:pt>
                <c:pt idx="222">
                  <c:v>4.825914705196932E-2</c:v>
                </c:pt>
                <c:pt idx="223">
                  <c:v>5.4699570212646487E-2</c:v>
                </c:pt>
                <c:pt idx="224">
                  <c:v>6.0113851633394777E-2</c:v>
                </c:pt>
                <c:pt idx="225">
                  <c:v>6.9557825165531328E-2</c:v>
                </c:pt>
                <c:pt idx="226">
                  <c:v>7.0980242266021287E-2</c:v>
                </c:pt>
                <c:pt idx="227">
                  <c:v>6.9609192520832419E-2</c:v>
                </c:pt>
                <c:pt idx="228">
                  <c:v>6.8348958761441203E-2</c:v>
                </c:pt>
                <c:pt idx="229">
                  <c:v>7.1248706787171434E-2</c:v>
                </c:pt>
                <c:pt idx="230">
                  <c:v>7.5510957892144681E-2</c:v>
                </c:pt>
                <c:pt idx="231">
                  <c:v>7.3336826864092597E-2</c:v>
                </c:pt>
                <c:pt idx="232">
                  <c:v>7.7988955855921249E-2</c:v>
                </c:pt>
                <c:pt idx="233">
                  <c:v>8.4927349177699396E-2</c:v>
                </c:pt>
                <c:pt idx="234">
                  <c:v>8.220304358572128E-2</c:v>
                </c:pt>
                <c:pt idx="235">
                  <c:v>8.859617604562442E-2</c:v>
                </c:pt>
                <c:pt idx="236">
                  <c:v>9.1083856084514192E-2</c:v>
                </c:pt>
                <c:pt idx="237">
                  <c:v>8.7928950302727182E-2</c:v>
                </c:pt>
                <c:pt idx="238">
                  <c:v>9.4393976464645757E-2</c:v>
                </c:pt>
                <c:pt idx="239">
                  <c:v>0.10146478230048084</c:v>
                </c:pt>
                <c:pt idx="240">
                  <c:v>0.10695361757244237</c:v>
                </c:pt>
                <c:pt idx="241">
                  <c:v>0.10560420409726823</c:v>
                </c:pt>
                <c:pt idx="242">
                  <c:v>0.10920219928493191</c:v>
                </c:pt>
                <c:pt idx="243">
                  <c:v>0.11059348564209914</c:v>
                </c:pt>
                <c:pt idx="244">
                  <c:v>0.1127488887281709</c:v>
                </c:pt>
                <c:pt idx="245">
                  <c:v>0.11837160457281404</c:v>
                </c:pt>
                <c:pt idx="246">
                  <c:v>0.12036778023605055</c:v>
                </c:pt>
                <c:pt idx="247">
                  <c:v>0.12678527332556144</c:v>
                </c:pt>
                <c:pt idx="248">
                  <c:v>0.12972512848618067</c:v>
                </c:pt>
                <c:pt idx="249">
                  <c:v>0.13112203401817601</c:v>
                </c:pt>
                <c:pt idx="250">
                  <c:v>0.13411883350539155</c:v>
                </c:pt>
                <c:pt idx="251">
                  <c:v>0.13357230137662457</c:v>
                </c:pt>
                <c:pt idx="252">
                  <c:v>0.13400785389569014</c:v>
                </c:pt>
                <c:pt idx="253">
                  <c:v>0.13602819491265716</c:v>
                </c:pt>
                <c:pt idx="254">
                  <c:v>0.13540410039168016</c:v>
                </c:pt>
                <c:pt idx="255">
                  <c:v>0.13976327826592705</c:v>
                </c:pt>
                <c:pt idx="256">
                  <c:v>0.14938949333861928</c:v>
                </c:pt>
                <c:pt idx="257">
                  <c:v>0.14661016127311699</c:v>
                </c:pt>
                <c:pt idx="258">
                  <c:v>0.15226606759132655</c:v>
                </c:pt>
                <c:pt idx="259">
                  <c:v>0.14603406518190898</c:v>
                </c:pt>
                <c:pt idx="260">
                  <c:v>0.15136472262499323</c:v>
                </c:pt>
                <c:pt idx="261">
                  <c:v>0.15904666270467449</c:v>
                </c:pt>
                <c:pt idx="262">
                  <c:v>0.1543519216926188</c:v>
                </c:pt>
                <c:pt idx="263">
                  <c:v>0.15381570174463821</c:v>
                </c:pt>
                <c:pt idx="264">
                  <c:v>0.15299938416750636</c:v>
                </c:pt>
                <c:pt idx="265">
                  <c:v>0.15066966647153834</c:v>
                </c:pt>
                <c:pt idx="266">
                  <c:v>0.14712149725543489</c:v>
                </c:pt>
                <c:pt idx="267">
                  <c:v>0.13827320417671607</c:v>
                </c:pt>
                <c:pt idx="268">
                  <c:v>0.12497347379930734</c:v>
                </c:pt>
                <c:pt idx="269">
                  <c:v>0.11698820368946139</c:v>
                </c:pt>
                <c:pt idx="270">
                  <c:v>0.10802464682030055</c:v>
                </c:pt>
                <c:pt idx="271">
                  <c:v>9.7785917874134487E-2</c:v>
                </c:pt>
                <c:pt idx="272">
                  <c:v>8.6822186149160263E-2</c:v>
                </c:pt>
                <c:pt idx="273">
                  <c:v>7.5811133566048294E-2</c:v>
                </c:pt>
                <c:pt idx="274">
                  <c:v>7.2761869573249482E-2</c:v>
                </c:pt>
                <c:pt idx="275">
                  <c:v>6.7584100126789615E-2</c:v>
                </c:pt>
                <c:pt idx="276">
                  <c:v>6.2546241388412804E-2</c:v>
                </c:pt>
                <c:pt idx="277">
                  <c:v>5.7200696414657415E-2</c:v>
                </c:pt>
                <c:pt idx="278">
                  <c:v>5.3755983820723552E-2</c:v>
                </c:pt>
                <c:pt idx="279">
                  <c:v>5.4312641006873941E-2</c:v>
                </c:pt>
                <c:pt idx="280">
                  <c:v>5.4522628313079302E-2</c:v>
                </c:pt>
                <c:pt idx="281">
                  <c:v>4.9963604931531957E-2</c:v>
                </c:pt>
                <c:pt idx="282">
                  <c:v>5.0617606816226512E-2</c:v>
                </c:pt>
                <c:pt idx="283">
                  <c:v>5.5240004879387516E-2</c:v>
                </c:pt>
                <c:pt idx="284">
                  <c:v>4.077526148939814E-2</c:v>
                </c:pt>
                <c:pt idx="285">
                  <c:v>3.9287869183004753E-2</c:v>
                </c:pt>
                <c:pt idx="286">
                  <c:v>2.7349162064188137E-2</c:v>
                </c:pt>
                <c:pt idx="287">
                  <c:v>2.0772074823367515E-2</c:v>
                </c:pt>
                <c:pt idx="288">
                  <c:v>1.6454093683275772E-2</c:v>
                </c:pt>
                <c:pt idx="289">
                  <c:v>1.0240591762330942E-2</c:v>
                </c:pt>
                <c:pt idx="290">
                  <c:v>4.9387831983425112E-3</c:v>
                </c:pt>
                <c:pt idx="291">
                  <c:v>-2.3787120328202516E-3</c:v>
                </c:pt>
                <c:pt idx="292">
                  <c:v>-6.3579044166142129E-3</c:v>
                </c:pt>
                <c:pt idx="293">
                  <c:v>-6.3550303436690214E-3</c:v>
                </c:pt>
                <c:pt idx="294">
                  <c:v>-6.5367106338275471E-3</c:v>
                </c:pt>
                <c:pt idx="295">
                  <c:v>-1.0743767370473223E-2</c:v>
                </c:pt>
                <c:pt idx="296">
                  <c:v>-4.3641607529132376E-4</c:v>
                </c:pt>
                <c:pt idx="297">
                  <c:v>1.0168351198029946E-3</c:v>
                </c:pt>
                <c:pt idx="298">
                  <c:v>1.8290538163911352E-2</c:v>
                </c:pt>
                <c:pt idx="299">
                  <c:v>2.7163075631362554E-2</c:v>
                </c:pt>
                <c:pt idx="300">
                  <c:v>2.8122170978758909E-2</c:v>
                </c:pt>
                <c:pt idx="301">
                  <c:v>3.683223992502338E-2</c:v>
                </c:pt>
                <c:pt idx="302">
                  <c:v>3.9455856900076025E-2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BF-4ED8-884C-C97F8D97E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9755888"/>
        <c:axId val="2019745904"/>
      </c:lineChart>
      <c:dateAx>
        <c:axId val="20197558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19745904"/>
        <c:crosses val="autoZero"/>
        <c:auto val="1"/>
        <c:lblOffset val="100"/>
        <c:baseTimeUnit val="months"/>
      </c:dateAx>
      <c:valAx>
        <c:axId val="201974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19755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51707</xdr:colOff>
      <xdr:row>2</xdr:row>
      <xdr:rowOff>38100</xdr:rowOff>
    </xdr:from>
    <xdr:to>
      <xdr:col>12</xdr:col>
      <xdr:colOff>424543</xdr:colOff>
      <xdr:row>15</xdr:row>
      <xdr:rowOff>108857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DD8C0DD-C8FA-4608-AB56-362A31AE5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2881311</xdr:colOff>
      <xdr:row>0</xdr:row>
      <xdr:rowOff>190500</xdr:rowOff>
    </xdr:from>
    <xdr:to>
      <xdr:col>13</xdr:col>
      <xdr:colOff>369092</xdr:colOff>
      <xdr:row>17</xdr:row>
      <xdr:rowOff>76796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C739374-A32B-4817-AF90-6D9108FFB4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5"/>
  <sheetViews>
    <sheetView tabSelected="1" zoomScale="145" zoomScaleNormal="145" workbookViewId="0">
      <selection activeCell="D22" sqref="D22"/>
    </sheetView>
  </sheetViews>
  <sheetFormatPr defaultRowHeight="15.75" x14ac:dyDescent="0.25"/>
  <cols>
    <col min="1" max="1" width="11" style="2" bestFit="1" customWidth="1"/>
    <col min="2" max="2" width="15.140625" style="2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3">
        <v>46265</v>
      </c>
    </row>
    <row r="3" spans="1:2" x14ac:dyDescent="0.25">
      <c r="A3" s="3">
        <v>46191</v>
      </c>
      <c r="B3" s="2">
        <v>2</v>
      </c>
    </row>
    <row r="4" spans="1:2" x14ac:dyDescent="0.25">
      <c r="A4" s="3">
        <v>46100</v>
      </c>
      <c r="B4" s="2">
        <v>2</v>
      </c>
    </row>
    <row r="5" spans="1:2" x14ac:dyDescent="0.25">
      <c r="A5" s="3">
        <v>46009</v>
      </c>
      <c r="B5" s="2">
        <v>2</v>
      </c>
    </row>
    <row r="6" spans="1:2" x14ac:dyDescent="0.25">
      <c r="A6" s="3">
        <v>45918</v>
      </c>
      <c r="B6" s="2">
        <v>2</v>
      </c>
    </row>
    <row r="7" spans="1:2" x14ac:dyDescent="0.25">
      <c r="A7" s="3">
        <v>45827</v>
      </c>
      <c r="B7" s="2">
        <v>2</v>
      </c>
    </row>
    <row r="8" spans="1:2" x14ac:dyDescent="0.25">
      <c r="A8" s="3">
        <v>45736</v>
      </c>
      <c r="B8" s="2">
        <v>2</v>
      </c>
    </row>
    <row r="9" spans="1:2" x14ac:dyDescent="0.25">
      <c r="A9" s="3">
        <v>45645</v>
      </c>
      <c r="B9" s="2">
        <v>2</v>
      </c>
    </row>
    <row r="10" spans="1:2" x14ac:dyDescent="0.25">
      <c r="A10" s="3">
        <v>45554</v>
      </c>
      <c r="B10" s="2">
        <v>2</v>
      </c>
    </row>
    <row r="11" spans="1:2" x14ac:dyDescent="0.25">
      <c r="A11" s="3">
        <v>45456</v>
      </c>
      <c r="B11" s="2">
        <v>2</v>
      </c>
    </row>
    <row r="12" spans="1:2" x14ac:dyDescent="0.25">
      <c r="A12" s="3">
        <v>45372</v>
      </c>
      <c r="B12" s="2">
        <v>2</v>
      </c>
    </row>
    <row r="13" spans="1:2" x14ac:dyDescent="0.25">
      <c r="A13" s="3">
        <v>45274</v>
      </c>
      <c r="B13" s="2">
        <v>1.875</v>
      </c>
    </row>
    <row r="14" spans="1:2" x14ac:dyDescent="0.25">
      <c r="A14" s="3">
        <v>45190</v>
      </c>
      <c r="B14" s="2">
        <v>1.875</v>
      </c>
    </row>
    <row r="15" spans="1:2" x14ac:dyDescent="0.25">
      <c r="A15" s="3">
        <v>45092</v>
      </c>
      <c r="B15" s="2">
        <v>1.875</v>
      </c>
    </row>
    <row r="16" spans="1:2" x14ac:dyDescent="0.25">
      <c r="A16" s="3">
        <v>45008</v>
      </c>
      <c r="B16" s="2">
        <v>1.875</v>
      </c>
    </row>
    <row r="17" spans="1:2" x14ac:dyDescent="0.25">
      <c r="A17" s="3">
        <v>44910</v>
      </c>
      <c r="B17" s="2">
        <v>1.75</v>
      </c>
    </row>
    <row r="18" spans="1:2" x14ac:dyDescent="0.25">
      <c r="A18" s="3">
        <v>44826</v>
      </c>
      <c r="B18" s="2">
        <v>1.625</v>
      </c>
    </row>
    <row r="19" spans="1:2" x14ac:dyDescent="0.25">
      <c r="A19" s="3">
        <v>44728</v>
      </c>
      <c r="B19" s="2">
        <v>1.5</v>
      </c>
    </row>
    <row r="20" spans="1:2" x14ac:dyDescent="0.25">
      <c r="A20" s="3">
        <v>44637</v>
      </c>
      <c r="B20" s="2">
        <v>1.375</v>
      </c>
    </row>
    <row r="21" spans="1:2" x14ac:dyDescent="0.25">
      <c r="A21" s="3">
        <v>44546</v>
      </c>
      <c r="B21" s="2">
        <v>1.125</v>
      </c>
    </row>
    <row r="22" spans="1:2" x14ac:dyDescent="0.25">
      <c r="A22" s="3">
        <v>44462</v>
      </c>
      <c r="B22" s="2">
        <v>1.125</v>
      </c>
    </row>
    <row r="23" spans="1:2" x14ac:dyDescent="0.25">
      <c r="A23" s="3">
        <v>44364</v>
      </c>
      <c r="B23" s="2">
        <v>1.125</v>
      </c>
    </row>
    <row r="24" spans="1:2" x14ac:dyDescent="0.25">
      <c r="A24" s="3">
        <v>44273</v>
      </c>
      <c r="B24" s="2">
        <v>1.125</v>
      </c>
    </row>
    <row r="25" spans="1:2" x14ac:dyDescent="0.25">
      <c r="A25" s="3">
        <v>44182</v>
      </c>
      <c r="B25" s="2">
        <v>1.125</v>
      </c>
    </row>
    <row r="26" spans="1:2" x14ac:dyDescent="0.25">
      <c r="A26" s="3">
        <v>44091</v>
      </c>
      <c r="B26" s="2">
        <v>1.125</v>
      </c>
    </row>
    <row r="27" spans="1:2" x14ac:dyDescent="0.25">
      <c r="A27" s="3">
        <v>44000</v>
      </c>
      <c r="B27" s="2">
        <v>1.125</v>
      </c>
    </row>
    <row r="28" spans="1:2" x14ac:dyDescent="0.25">
      <c r="A28" s="3">
        <v>43909</v>
      </c>
      <c r="B28" s="2">
        <v>1.125</v>
      </c>
    </row>
    <row r="29" spans="1:2" x14ac:dyDescent="0.25">
      <c r="A29" s="3">
        <v>43818</v>
      </c>
      <c r="B29" s="2">
        <v>1.375</v>
      </c>
    </row>
    <row r="30" spans="1:2" x14ac:dyDescent="0.25">
      <c r="A30" s="3">
        <v>43727</v>
      </c>
      <c r="B30" s="2">
        <v>1.375</v>
      </c>
    </row>
    <row r="31" spans="1:2" x14ac:dyDescent="0.25">
      <c r="A31" s="3">
        <v>43636</v>
      </c>
      <c r="B31" s="2">
        <v>1.375</v>
      </c>
    </row>
    <row r="32" spans="1:2" x14ac:dyDescent="0.25">
      <c r="A32" s="3">
        <v>43545</v>
      </c>
      <c r="B32" s="2">
        <v>1.375</v>
      </c>
    </row>
    <row r="33" spans="1:2" x14ac:dyDescent="0.25">
      <c r="A33" s="3">
        <v>43454</v>
      </c>
      <c r="B33" s="2">
        <v>1.375</v>
      </c>
    </row>
    <row r="34" spans="1:2" x14ac:dyDescent="0.25">
      <c r="A34" s="3">
        <v>43370</v>
      </c>
      <c r="B34" s="2">
        <v>1.375</v>
      </c>
    </row>
    <row r="35" spans="1:2" x14ac:dyDescent="0.25">
      <c r="A35" s="3">
        <v>43272</v>
      </c>
      <c r="B35" s="2">
        <v>1.375</v>
      </c>
    </row>
    <row r="36" spans="1:2" x14ac:dyDescent="0.25">
      <c r="A36" s="3">
        <v>43181</v>
      </c>
      <c r="B36" s="2">
        <v>1.375</v>
      </c>
    </row>
    <row r="37" spans="1:2" x14ac:dyDescent="0.25">
      <c r="A37" s="3">
        <v>43090</v>
      </c>
      <c r="B37" s="2">
        <v>1.375</v>
      </c>
    </row>
    <row r="38" spans="1:2" x14ac:dyDescent="0.25">
      <c r="A38" s="3">
        <v>42999</v>
      </c>
      <c r="B38" s="2">
        <v>1.375</v>
      </c>
    </row>
    <row r="39" spans="1:2" x14ac:dyDescent="0.25">
      <c r="A39" s="3">
        <v>42908</v>
      </c>
      <c r="B39" s="2">
        <v>1.375</v>
      </c>
    </row>
    <row r="40" spans="1:2" x14ac:dyDescent="0.25">
      <c r="A40" s="3">
        <v>42817</v>
      </c>
      <c r="B40" s="2">
        <v>1.375</v>
      </c>
    </row>
    <row r="41" spans="1:2" x14ac:dyDescent="0.25">
      <c r="A41" s="3">
        <v>42726</v>
      </c>
      <c r="B41" s="2">
        <v>1.375</v>
      </c>
    </row>
    <row r="42" spans="1:2" x14ac:dyDescent="0.25">
      <c r="A42" s="3">
        <v>42642</v>
      </c>
      <c r="B42" s="2">
        <v>1.375</v>
      </c>
    </row>
    <row r="43" spans="1:2" x14ac:dyDescent="0.25">
      <c r="A43" s="3">
        <v>42551</v>
      </c>
      <c r="B43" s="2">
        <v>1.375</v>
      </c>
    </row>
    <row r="44" spans="1:2" x14ac:dyDescent="0.25">
      <c r="A44" s="3">
        <v>42453</v>
      </c>
      <c r="B44" s="2">
        <v>1.5</v>
      </c>
    </row>
    <row r="45" spans="1:2" x14ac:dyDescent="0.25">
      <c r="A45" s="3">
        <v>42355</v>
      </c>
      <c r="B45" s="2">
        <v>1.625</v>
      </c>
    </row>
    <row r="46" spans="1:2" x14ac:dyDescent="0.25">
      <c r="A46" s="3">
        <v>42271</v>
      </c>
      <c r="B46" s="2">
        <v>1.75</v>
      </c>
    </row>
    <row r="47" spans="1:2" x14ac:dyDescent="0.25">
      <c r="A47" s="3">
        <v>42180</v>
      </c>
      <c r="B47" s="2">
        <v>1.875</v>
      </c>
    </row>
    <row r="48" spans="1:2" x14ac:dyDescent="0.25">
      <c r="A48" s="3">
        <v>42089</v>
      </c>
      <c r="B48" s="2">
        <v>1.875</v>
      </c>
    </row>
    <row r="49" spans="1:2" x14ac:dyDescent="0.25">
      <c r="A49" s="3">
        <v>41991</v>
      </c>
      <c r="B49" s="2">
        <v>1.875</v>
      </c>
    </row>
    <row r="50" spans="1:2" x14ac:dyDescent="0.25">
      <c r="A50" s="3">
        <v>41907</v>
      </c>
      <c r="B50" s="2">
        <v>1.875</v>
      </c>
    </row>
    <row r="51" spans="1:2" x14ac:dyDescent="0.25">
      <c r="A51" s="3">
        <v>41816</v>
      </c>
      <c r="B51" s="2">
        <v>1.875</v>
      </c>
    </row>
    <row r="52" spans="1:2" x14ac:dyDescent="0.25">
      <c r="A52" s="3">
        <v>41725</v>
      </c>
      <c r="B52" s="2">
        <v>1.875</v>
      </c>
    </row>
    <row r="53" spans="1:2" x14ac:dyDescent="0.25">
      <c r="A53" s="3">
        <v>41634</v>
      </c>
      <c r="B53" s="2">
        <v>1.875</v>
      </c>
    </row>
    <row r="54" spans="1:2" x14ac:dyDescent="0.25">
      <c r="A54" s="3">
        <v>41543</v>
      </c>
      <c r="B54" s="2">
        <v>1.875</v>
      </c>
    </row>
    <row r="55" spans="1:2" x14ac:dyDescent="0.25">
      <c r="A55" s="3">
        <v>41452</v>
      </c>
      <c r="B55" s="2">
        <v>1.875</v>
      </c>
    </row>
    <row r="56" spans="1:2" x14ac:dyDescent="0.25">
      <c r="A56" s="3">
        <v>41361</v>
      </c>
      <c r="B56" s="2">
        <v>1.875</v>
      </c>
    </row>
    <row r="57" spans="1:2" x14ac:dyDescent="0.25">
      <c r="A57" s="3">
        <v>41262</v>
      </c>
      <c r="B57" s="2">
        <v>1.875</v>
      </c>
    </row>
    <row r="58" spans="1:2" x14ac:dyDescent="0.25">
      <c r="A58" s="3">
        <v>41172</v>
      </c>
      <c r="B58" s="2">
        <v>1.875</v>
      </c>
    </row>
    <row r="59" spans="1:2" x14ac:dyDescent="0.25">
      <c r="A59" s="3">
        <v>41081</v>
      </c>
      <c r="B59" s="2">
        <v>1.875</v>
      </c>
    </row>
    <row r="60" spans="1:2" x14ac:dyDescent="0.25">
      <c r="A60" s="3">
        <v>40990</v>
      </c>
      <c r="B60" s="2">
        <v>1.875</v>
      </c>
    </row>
    <row r="61" spans="1:2" x14ac:dyDescent="0.25">
      <c r="A61" s="3">
        <v>40906</v>
      </c>
      <c r="B61" s="2">
        <v>1.875</v>
      </c>
    </row>
    <row r="62" spans="1:2" x14ac:dyDescent="0.25">
      <c r="A62" s="3">
        <v>40815</v>
      </c>
      <c r="B62" s="2">
        <v>1.875</v>
      </c>
    </row>
    <row r="63" spans="1:2" x14ac:dyDescent="0.25">
      <c r="A63" s="3">
        <v>40724</v>
      </c>
      <c r="B63" s="2">
        <v>1.875</v>
      </c>
    </row>
    <row r="64" spans="1:2" x14ac:dyDescent="0.25">
      <c r="A64" s="3">
        <v>40633</v>
      </c>
      <c r="B64" s="2">
        <v>1.75</v>
      </c>
    </row>
    <row r="65" spans="1:2" x14ac:dyDescent="0.25">
      <c r="A65" s="3">
        <v>40542</v>
      </c>
      <c r="B65" s="2">
        <v>1.625</v>
      </c>
    </row>
    <row r="66" spans="1:2" x14ac:dyDescent="0.25">
      <c r="A66" s="3">
        <v>40451</v>
      </c>
      <c r="B66" s="2">
        <v>1.5</v>
      </c>
    </row>
    <row r="67" spans="1:2" x14ac:dyDescent="0.25">
      <c r="A67" s="3">
        <v>40353</v>
      </c>
      <c r="B67" s="2">
        <v>1.375</v>
      </c>
    </row>
    <row r="68" spans="1:2" x14ac:dyDescent="0.25">
      <c r="A68" s="3">
        <v>40262</v>
      </c>
      <c r="B68" s="2">
        <v>1.25</v>
      </c>
    </row>
    <row r="69" spans="1:2" x14ac:dyDescent="0.25">
      <c r="A69" s="3">
        <v>40219</v>
      </c>
      <c r="B69" s="2">
        <v>1.25</v>
      </c>
    </row>
    <row r="70" spans="1:2" x14ac:dyDescent="0.25">
      <c r="A70" s="3">
        <v>40171</v>
      </c>
      <c r="B70" s="2">
        <v>1.25</v>
      </c>
    </row>
    <row r="71" spans="1:2" x14ac:dyDescent="0.25">
      <c r="A71" s="3">
        <v>40080</v>
      </c>
      <c r="B71" s="2">
        <v>1.25</v>
      </c>
    </row>
    <row r="72" spans="1:2" x14ac:dyDescent="0.25">
      <c r="A72" s="3">
        <v>39989</v>
      </c>
      <c r="B72" s="2">
        <v>1.25</v>
      </c>
    </row>
    <row r="73" spans="1:2" x14ac:dyDescent="0.25">
      <c r="A73" s="3">
        <v>39939</v>
      </c>
      <c r="B73" s="2">
        <v>1.25</v>
      </c>
    </row>
    <row r="74" spans="1:2" x14ac:dyDescent="0.25">
      <c r="A74" s="3">
        <v>39898</v>
      </c>
      <c r="B74" s="2">
        <v>1.25</v>
      </c>
    </row>
    <row r="75" spans="1:2" x14ac:dyDescent="0.25">
      <c r="A75" s="3">
        <v>39862</v>
      </c>
      <c r="B75" s="2">
        <v>1.25</v>
      </c>
    </row>
    <row r="76" spans="1:2" x14ac:dyDescent="0.25">
      <c r="A76" s="3">
        <v>39820</v>
      </c>
      <c r="B76" s="2">
        <v>1.5</v>
      </c>
    </row>
    <row r="77" spans="1:2" x14ac:dyDescent="0.25">
      <c r="A77" s="3">
        <v>39794</v>
      </c>
      <c r="B77" s="2">
        <v>2</v>
      </c>
    </row>
    <row r="78" spans="1:2" x14ac:dyDescent="0.25">
      <c r="A78" s="3">
        <v>39793</v>
      </c>
      <c r="B78" s="2">
        <v>2</v>
      </c>
    </row>
    <row r="79" spans="1:2" x14ac:dyDescent="0.25">
      <c r="A79" s="3">
        <v>39762</v>
      </c>
      <c r="B79" s="2">
        <v>2.75</v>
      </c>
    </row>
    <row r="80" spans="1:2" x14ac:dyDescent="0.25">
      <c r="A80" s="3">
        <v>39751</v>
      </c>
      <c r="B80" s="2">
        <v>3</v>
      </c>
    </row>
    <row r="81" spans="1:2" x14ac:dyDescent="0.25">
      <c r="A81" s="3">
        <v>39730</v>
      </c>
      <c r="B81" s="2">
        <v>3.25</v>
      </c>
    </row>
    <row r="82" spans="1:2" x14ac:dyDescent="0.25">
      <c r="A82" s="3">
        <v>39716</v>
      </c>
      <c r="B82" s="2">
        <v>3.5</v>
      </c>
    </row>
    <row r="83" spans="1:2" x14ac:dyDescent="0.25">
      <c r="A83" s="3">
        <v>39626</v>
      </c>
      <c r="B83" s="2">
        <v>3.625</v>
      </c>
    </row>
    <row r="84" spans="1:2" x14ac:dyDescent="0.25">
      <c r="A84" s="3">
        <v>39625</v>
      </c>
      <c r="B84" s="2">
        <v>3.625</v>
      </c>
    </row>
    <row r="85" spans="1:2" x14ac:dyDescent="0.25">
      <c r="A85" s="3">
        <v>39535</v>
      </c>
      <c r="B85" s="2">
        <v>3.5</v>
      </c>
    </row>
    <row r="86" spans="1:2" x14ac:dyDescent="0.25">
      <c r="A86" s="3">
        <v>39534</v>
      </c>
      <c r="B86" s="2">
        <v>3.5</v>
      </c>
    </row>
    <row r="87" spans="1:2" x14ac:dyDescent="0.25">
      <c r="A87" s="3">
        <v>39437</v>
      </c>
      <c r="B87" s="2">
        <v>3.375</v>
      </c>
    </row>
    <row r="88" spans="1:2" x14ac:dyDescent="0.25">
      <c r="A88" s="3">
        <v>39436</v>
      </c>
      <c r="B88" s="2">
        <v>3.375</v>
      </c>
    </row>
    <row r="89" spans="1:2" x14ac:dyDescent="0.25">
      <c r="A89" s="3">
        <v>39346</v>
      </c>
      <c r="B89" s="2">
        <v>3.25</v>
      </c>
    </row>
    <row r="90" spans="1:2" x14ac:dyDescent="0.25">
      <c r="A90" s="3">
        <v>39255</v>
      </c>
      <c r="B90" s="2">
        <v>3.125</v>
      </c>
    </row>
    <row r="91" spans="1:2" x14ac:dyDescent="0.25">
      <c r="A91" s="3">
        <v>39171</v>
      </c>
      <c r="B91" s="2">
        <v>2.875</v>
      </c>
    </row>
    <row r="92" spans="1:2" x14ac:dyDescent="0.25">
      <c r="A92" s="3">
        <v>39080</v>
      </c>
      <c r="B92" s="2">
        <v>2.75</v>
      </c>
    </row>
    <row r="93" spans="1:2" x14ac:dyDescent="0.25">
      <c r="A93" s="3">
        <v>38989</v>
      </c>
      <c r="B93" s="2">
        <v>2.625</v>
      </c>
    </row>
    <row r="94" spans="1:2" x14ac:dyDescent="0.25">
      <c r="A94" s="3">
        <v>38898</v>
      </c>
      <c r="B94" s="2">
        <v>2.5</v>
      </c>
    </row>
    <row r="95" spans="1:2" x14ac:dyDescent="0.25">
      <c r="A95" s="3">
        <v>38807</v>
      </c>
      <c r="B95" s="2">
        <v>2.375</v>
      </c>
    </row>
    <row r="96" spans="1:2" x14ac:dyDescent="0.25">
      <c r="A96" s="3">
        <v>38709</v>
      </c>
      <c r="B96" s="2">
        <v>2.25</v>
      </c>
    </row>
    <row r="97" spans="1:2" x14ac:dyDescent="0.25">
      <c r="A97" s="3">
        <v>38611</v>
      </c>
      <c r="B97" s="2">
        <v>2.125</v>
      </c>
    </row>
    <row r="98" spans="1:2" x14ac:dyDescent="0.25">
      <c r="A98" s="3">
        <v>38534</v>
      </c>
      <c r="B98" s="2">
        <v>2</v>
      </c>
    </row>
    <row r="99" spans="1:2" x14ac:dyDescent="0.25">
      <c r="A99" s="3">
        <v>38436</v>
      </c>
      <c r="B99" s="2">
        <v>1.875</v>
      </c>
    </row>
    <row r="100" spans="1:2" x14ac:dyDescent="0.25">
      <c r="A100" s="3">
        <v>38352</v>
      </c>
      <c r="B100" s="2">
        <v>1.75</v>
      </c>
    </row>
    <row r="101" spans="1:2" x14ac:dyDescent="0.25">
      <c r="A101" s="3">
        <v>38261</v>
      </c>
      <c r="B101" s="2">
        <v>1.625</v>
      </c>
    </row>
    <row r="102" spans="1:2" x14ac:dyDescent="0.25">
      <c r="A102" s="3">
        <v>38163</v>
      </c>
      <c r="B102" s="2">
        <v>1.375</v>
      </c>
    </row>
    <row r="103" spans="1:2" x14ac:dyDescent="0.25">
      <c r="A103" s="3">
        <v>38075</v>
      </c>
      <c r="B103" s="2">
        <v>1.375</v>
      </c>
    </row>
    <row r="104" spans="1:2" x14ac:dyDescent="0.25">
      <c r="A104" s="3">
        <v>37985</v>
      </c>
      <c r="B104" s="2">
        <v>1.375</v>
      </c>
    </row>
    <row r="105" spans="1:2" x14ac:dyDescent="0.25">
      <c r="A105" s="3">
        <v>37890</v>
      </c>
      <c r="B105" s="2">
        <v>1.375</v>
      </c>
    </row>
    <row r="106" spans="1:2" x14ac:dyDescent="0.25">
      <c r="A106" s="3">
        <v>37799</v>
      </c>
      <c r="B106" s="2">
        <v>1.375</v>
      </c>
    </row>
    <row r="107" spans="1:2" x14ac:dyDescent="0.25">
      <c r="A107" s="3">
        <v>37701</v>
      </c>
      <c r="B107" s="2">
        <v>1.625</v>
      </c>
    </row>
    <row r="108" spans="1:2" x14ac:dyDescent="0.25">
      <c r="A108" s="3">
        <v>37617</v>
      </c>
      <c r="B108" s="2">
        <v>1.625</v>
      </c>
    </row>
    <row r="109" spans="1:2" x14ac:dyDescent="0.25">
      <c r="A109" s="3">
        <v>37572</v>
      </c>
      <c r="B109" s="2">
        <v>1.625</v>
      </c>
    </row>
    <row r="110" spans="1:2" x14ac:dyDescent="0.25">
      <c r="A110" s="3">
        <v>37523</v>
      </c>
      <c r="B110" s="2">
        <v>1.875</v>
      </c>
    </row>
    <row r="111" spans="1:2" x14ac:dyDescent="0.25">
      <c r="A111" s="3">
        <v>37435</v>
      </c>
      <c r="B111" s="2">
        <v>1.875</v>
      </c>
    </row>
    <row r="112" spans="1:2" x14ac:dyDescent="0.25">
      <c r="A112" s="3">
        <v>37344</v>
      </c>
      <c r="B112" s="2">
        <v>2.125</v>
      </c>
    </row>
    <row r="113" spans="1:2" x14ac:dyDescent="0.25">
      <c r="A113" s="3">
        <v>37253</v>
      </c>
      <c r="B113" s="2">
        <v>2.125</v>
      </c>
    </row>
    <row r="114" spans="1:2" x14ac:dyDescent="0.25">
      <c r="A114" s="3">
        <v>37203</v>
      </c>
      <c r="B114" s="2">
        <v>2.25</v>
      </c>
    </row>
    <row r="115" spans="1:2" x14ac:dyDescent="0.25">
      <c r="A115" s="3">
        <v>37168</v>
      </c>
      <c r="B115" s="2">
        <v>2.5</v>
      </c>
    </row>
    <row r="116" spans="1:2" x14ac:dyDescent="0.25">
      <c r="A116" s="3">
        <v>37153</v>
      </c>
      <c r="B116" s="2">
        <v>2.75</v>
      </c>
    </row>
    <row r="117" spans="1:2" x14ac:dyDescent="0.25">
      <c r="A117" s="3">
        <v>37123</v>
      </c>
      <c r="B117" s="2">
        <v>3.25</v>
      </c>
    </row>
    <row r="118" spans="1:2" x14ac:dyDescent="0.25">
      <c r="A118" s="3">
        <v>37071</v>
      </c>
      <c r="B118" s="2">
        <v>3.5</v>
      </c>
    </row>
    <row r="119" spans="1:2" x14ac:dyDescent="0.25">
      <c r="A119" s="3">
        <v>37029</v>
      </c>
      <c r="B119" s="2">
        <v>3.75</v>
      </c>
    </row>
    <row r="120" spans="1:2" x14ac:dyDescent="0.25">
      <c r="A120" s="3">
        <v>37004</v>
      </c>
      <c r="B120" s="2">
        <v>4</v>
      </c>
    </row>
    <row r="121" spans="1:2" x14ac:dyDescent="0.25">
      <c r="A121" s="3">
        <v>36980</v>
      </c>
      <c r="B121" s="2">
        <v>4.125</v>
      </c>
    </row>
    <row r="122" spans="1:2" x14ac:dyDescent="0.25">
      <c r="A122" s="3">
        <v>36956</v>
      </c>
      <c r="B122" s="2">
        <v>4.25</v>
      </c>
    </row>
    <row r="123" spans="1:2" x14ac:dyDescent="0.25">
      <c r="A123" s="3">
        <v>36924</v>
      </c>
      <c r="B123" s="2">
        <v>4.375</v>
      </c>
    </row>
    <row r="124" spans="1:2" x14ac:dyDescent="0.25">
      <c r="A124" s="3">
        <v>36893</v>
      </c>
      <c r="B124" s="2">
        <v>4.625</v>
      </c>
    </row>
    <row r="125" spans="1:2" x14ac:dyDescent="0.25">
      <c r="A125" s="3">
        <v>36889</v>
      </c>
      <c r="B125" s="2">
        <v>4.625</v>
      </c>
    </row>
    <row r="126" spans="1:2" x14ac:dyDescent="0.25">
      <c r="A126" s="3">
        <v>36888</v>
      </c>
      <c r="B126" s="2">
        <v>4.625</v>
      </c>
    </row>
    <row r="127" spans="1:2" x14ac:dyDescent="0.25">
      <c r="A127" s="3">
        <v>36887</v>
      </c>
      <c r="B127" s="2">
        <v>4.75</v>
      </c>
    </row>
    <row r="128" spans="1:2" x14ac:dyDescent="0.25">
      <c r="A128" s="3">
        <v>36886</v>
      </c>
      <c r="B128" s="2">
        <v>4.75</v>
      </c>
    </row>
    <row r="129" spans="1:2" x14ac:dyDescent="0.25">
      <c r="A129" s="3">
        <v>36882</v>
      </c>
      <c r="B129" s="2">
        <v>4.75</v>
      </c>
    </row>
    <row r="130" spans="1:2" x14ac:dyDescent="0.25">
      <c r="A130" s="3">
        <v>36881</v>
      </c>
      <c r="B130" s="2">
        <v>4.75</v>
      </c>
    </row>
    <row r="131" spans="1:2" x14ac:dyDescent="0.25">
      <c r="A131" s="3">
        <v>36880</v>
      </c>
      <c r="B131" s="2">
        <v>4.75</v>
      </c>
    </row>
    <row r="132" spans="1:2" x14ac:dyDescent="0.25">
      <c r="A132" s="3">
        <v>36879</v>
      </c>
      <c r="B132" s="2">
        <v>4.75</v>
      </c>
    </row>
    <row r="133" spans="1:2" x14ac:dyDescent="0.25">
      <c r="A133" s="3">
        <v>36878</v>
      </c>
      <c r="B133" s="2">
        <v>4.75</v>
      </c>
    </row>
    <row r="134" spans="1:2" x14ac:dyDescent="0.25">
      <c r="A134" s="3">
        <v>36875</v>
      </c>
      <c r="B134" s="2">
        <v>4.75</v>
      </c>
    </row>
    <row r="135" spans="1:2" x14ac:dyDescent="0.25">
      <c r="A135" s="3">
        <v>36874</v>
      </c>
      <c r="B135" s="2">
        <v>4.75</v>
      </c>
    </row>
    <row r="136" spans="1:2" x14ac:dyDescent="0.25">
      <c r="A136" s="3">
        <v>36873</v>
      </c>
      <c r="B136" s="2">
        <v>4.75</v>
      </c>
    </row>
    <row r="137" spans="1:2" x14ac:dyDescent="0.25">
      <c r="A137" s="3">
        <v>36872</v>
      </c>
      <c r="B137" s="2">
        <v>4.75</v>
      </c>
    </row>
    <row r="138" spans="1:2" x14ac:dyDescent="0.25">
      <c r="A138" s="3">
        <v>36871</v>
      </c>
      <c r="B138" s="2">
        <v>4.75</v>
      </c>
    </row>
    <row r="139" spans="1:2" x14ac:dyDescent="0.25">
      <c r="A139" s="3">
        <v>36868</v>
      </c>
      <c r="B139" s="2">
        <v>4.75</v>
      </c>
    </row>
    <row r="140" spans="1:2" x14ac:dyDescent="0.25">
      <c r="A140" s="3">
        <v>36867</v>
      </c>
      <c r="B140" s="2">
        <v>4.75</v>
      </c>
    </row>
    <row r="141" spans="1:2" x14ac:dyDescent="0.25">
      <c r="A141" s="3">
        <v>36866</v>
      </c>
      <c r="B141" s="2">
        <v>4.75</v>
      </c>
    </row>
    <row r="142" spans="1:2" x14ac:dyDescent="0.25">
      <c r="A142" s="3">
        <v>36865</v>
      </c>
      <c r="B142" s="2">
        <v>4.75</v>
      </c>
    </row>
    <row r="143" spans="1:2" x14ac:dyDescent="0.25">
      <c r="A143" s="3">
        <v>36864</v>
      </c>
      <c r="B143" s="2">
        <v>4.75</v>
      </c>
    </row>
    <row r="144" spans="1:2" x14ac:dyDescent="0.25">
      <c r="A144" s="3">
        <v>36861</v>
      </c>
      <c r="B144" s="2">
        <v>4.75</v>
      </c>
    </row>
    <row r="145" spans="1:2" x14ac:dyDescent="0.25">
      <c r="A145" s="3">
        <v>36859</v>
      </c>
      <c r="B145" s="2">
        <v>4.75</v>
      </c>
    </row>
    <row r="146" spans="1:2" x14ac:dyDescent="0.25">
      <c r="A146" s="3">
        <v>36858</v>
      </c>
      <c r="B146" s="2">
        <v>4.75</v>
      </c>
    </row>
    <row r="147" spans="1:2" x14ac:dyDescent="0.25">
      <c r="A147" s="3">
        <v>36857</v>
      </c>
      <c r="B147" s="2">
        <v>4.75</v>
      </c>
    </row>
    <row r="148" spans="1:2" x14ac:dyDescent="0.25">
      <c r="A148" s="3">
        <v>36854</v>
      </c>
      <c r="B148" s="2">
        <v>4.75</v>
      </c>
    </row>
    <row r="149" spans="1:2" x14ac:dyDescent="0.25">
      <c r="A149" s="3">
        <v>36853</v>
      </c>
      <c r="B149" s="2">
        <v>4.75</v>
      </c>
    </row>
    <row r="150" spans="1:2" x14ac:dyDescent="0.25">
      <c r="A150" s="3">
        <v>36852</v>
      </c>
      <c r="B150" s="2">
        <v>4.75</v>
      </c>
    </row>
    <row r="151" spans="1:2" x14ac:dyDescent="0.25">
      <c r="A151" s="3">
        <v>36851</v>
      </c>
      <c r="B151" s="2">
        <v>4.75</v>
      </c>
    </row>
    <row r="152" spans="1:2" x14ac:dyDescent="0.25">
      <c r="A152" s="3">
        <v>36850</v>
      </c>
      <c r="B152" s="2">
        <v>4.75</v>
      </c>
    </row>
    <row r="153" spans="1:2" x14ac:dyDescent="0.25">
      <c r="A153" s="3">
        <v>36847</v>
      </c>
      <c r="B153" s="2">
        <v>4.75</v>
      </c>
    </row>
    <row r="154" spans="1:2" x14ac:dyDescent="0.25">
      <c r="A154" s="3">
        <v>36846</v>
      </c>
      <c r="B154" s="2">
        <v>4.75</v>
      </c>
    </row>
    <row r="155" spans="1:2" x14ac:dyDescent="0.25">
      <c r="A155" s="3">
        <v>36845</v>
      </c>
      <c r="B155" s="2">
        <v>4.75</v>
      </c>
    </row>
    <row r="156" spans="1:2" x14ac:dyDescent="0.25">
      <c r="A156" s="3">
        <v>36844</v>
      </c>
      <c r="B156" s="2">
        <v>4.75</v>
      </c>
    </row>
    <row r="157" spans="1:2" x14ac:dyDescent="0.25">
      <c r="A157" s="3">
        <v>36843</v>
      </c>
      <c r="B157" s="2">
        <v>4.75</v>
      </c>
    </row>
    <row r="158" spans="1:2" x14ac:dyDescent="0.25">
      <c r="A158" s="3">
        <v>36840</v>
      </c>
      <c r="B158" s="2">
        <v>4.75</v>
      </c>
    </row>
    <row r="159" spans="1:2" x14ac:dyDescent="0.25">
      <c r="A159" s="3">
        <v>36839</v>
      </c>
      <c r="B159" s="2">
        <v>4.75</v>
      </c>
    </row>
    <row r="160" spans="1:2" x14ac:dyDescent="0.25">
      <c r="A160" s="3">
        <v>36838</v>
      </c>
      <c r="B160" s="2">
        <v>4.75</v>
      </c>
    </row>
    <row r="161" spans="1:2" x14ac:dyDescent="0.25">
      <c r="A161" s="3">
        <v>36837</v>
      </c>
      <c r="B161" s="2">
        <v>4.75</v>
      </c>
    </row>
    <row r="162" spans="1:2" x14ac:dyDescent="0.25">
      <c r="A162" s="3">
        <v>36836</v>
      </c>
      <c r="B162" s="2">
        <v>4.75</v>
      </c>
    </row>
    <row r="163" spans="1:2" x14ac:dyDescent="0.25">
      <c r="A163" s="3">
        <v>36833</v>
      </c>
      <c r="B163" s="2">
        <v>4.75</v>
      </c>
    </row>
    <row r="164" spans="1:2" x14ac:dyDescent="0.25">
      <c r="A164" s="3">
        <v>36832</v>
      </c>
      <c r="B164" s="2">
        <v>4.75</v>
      </c>
    </row>
    <row r="165" spans="1:2" x14ac:dyDescent="0.25">
      <c r="A165" s="3">
        <v>36831</v>
      </c>
      <c r="B165" s="2">
        <v>4.75</v>
      </c>
    </row>
    <row r="166" spans="1:2" x14ac:dyDescent="0.25">
      <c r="A166" s="3">
        <v>36829</v>
      </c>
      <c r="B166" s="2">
        <v>4.75</v>
      </c>
    </row>
    <row r="167" spans="1:2" x14ac:dyDescent="0.25">
      <c r="A167" s="3">
        <v>36826</v>
      </c>
      <c r="B167" s="2">
        <v>4.75</v>
      </c>
    </row>
    <row r="168" spans="1:2" x14ac:dyDescent="0.25">
      <c r="A168" s="3">
        <v>36825</v>
      </c>
      <c r="B168" s="2">
        <v>4.75</v>
      </c>
    </row>
    <row r="169" spans="1:2" x14ac:dyDescent="0.25">
      <c r="A169" s="3">
        <v>36824</v>
      </c>
      <c r="B169" s="2">
        <v>4.75</v>
      </c>
    </row>
    <row r="170" spans="1:2" x14ac:dyDescent="0.25">
      <c r="A170" s="3">
        <v>36823</v>
      </c>
      <c r="B170" s="2">
        <v>4.75</v>
      </c>
    </row>
    <row r="171" spans="1:2" x14ac:dyDescent="0.25">
      <c r="A171" s="3">
        <v>36822</v>
      </c>
      <c r="B171" s="2">
        <v>4.75</v>
      </c>
    </row>
    <row r="172" spans="1:2" x14ac:dyDescent="0.25">
      <c r="A172" s="3">
        <v>36819</v>
      </c>
      <c r="B172" s="2">
        <v>4.75</v>
      </c>
    </row>
    <row r="173" spans="1:2" x14ac:dyDescent="0.25">
      <c r="A173" s="3">
        <v>36818</v>
      </c>
      <c r="B173" s="2">
        <v>4.75</v>
      </c>
    </row>
    <row r="174" spans="1:2" x14ac:dyDescent="0.25">
      <c r="A174" s="3">
        <v>36817</v>
      </c>
      <c r="B174" s="2">
        <v>4.75</v>
      </c>
    </row>
    <row r="175" spans="1:2" x14ac:dyDescent="0.25">
      <c r="A175" s="3">
        <v>36816</v>
      </c>
      <c r="B175" s="2">
        <v>4.75</v>
      </c>
    </row>
    <row r="176" spans="1:2" x14ac:dyDescent="0.25">
      <c r="A176" s="3">
        <v>36815</v>
      </c>
      <c r="B176" s="2">
        <v>4.75</v>
      </c>
    </row>
    <row r="177" spans="1:2" x14ac:dyDescent="0.25">
      <c r="A177" s="3">
        <v>36812</v>
      </c>
      <c r="B177" s="2">
        <v>4.75</v>
      </c>
    </row>
    <row r="178" spans="1:2" x14ac:dyDescent="0.25">
      <c r="A178" s="3">
        <v>36811</v>
      </c>
      <c r="B178" s="2">
        <v>4.75</v>
      </c>
    </row>
    <row r="179" spans="1:2" x14ac:dyDescent="0.25">
      <c r="A179" s="3">
        <v>36810</v>
      </c>
      <c r="B179" s="2">
        <v>4.75</v>
      </c>
    </row>
    <row r="180" spans="1:2" x14ac:dyDescent="0.25">
      <c r="A180" s="3">
        <v>36808</v>
      </c>
      <c r="B180" s="2">
        <v>4.75</v>
      </c>
    </row>
    <row r="181" spans="1:2" x14ac:dyDescent="0.25">
      <c r="A181" s="3">
        <v>36805</v>
      </c>
      <c r="B181" s="2">
        <v>4.75</v>
      </c>
    </row>
    <row r="182" spans="1:2" x14ac:dyDescent="0.25">
      <c r="A182" s="3">
        <v>36804</v>
      </c>
      <c r="B182" s="2">
        <v>4.75</v>
      </c>
    </row>
    <row r="183" spans="1:2" x14ac:dyDescent="0.25">
      <c r="A183" s="3">
        <v>36803</v>
      </c>
      <c r="B183" s="2">
        <v>4.75</v>
      </c>
    </row>
    <row r="184" spans="1:2" x14ac:dyDescent="0.25">
      <c r="A184" s="3">
        <v>36802</v>
      </c>
      <c r="B184" s="2">
        <v>4.75</v>
      </c>
    </row>
    <row r="185" spans="1:2" x14ac:dyDescent="0.25">
      <c r="A185" s="3">
        <v>36801</v>
      </c>
      <c r="B185" s="2">
        <v>4.75</v>
      </c>
    </row>
    <row r="186" spans="1:2" x14ac:dyDescent="0.25">
      <c r="A186" s="3">
        <v>36798</v>
      </c>
      <c r="B186" s="2">
        <v>4.75</v>
      </c>
    </row>
    <row r="187" spans="1:2" x14ac:dyDescent="0.25">
      <c r="A187" s="3">
        <v>36797</v>
      </c>
      <c r="B187" s="2">
        <v>4.75</v>
      </c>
    </row>
    <row r="188" spans="1:2" x14ac:dyDescent="0.25">
      <c r="A188" s="3">
        <v>36796</v>
      </c>
      <c r="B188" s="2">
        <v>4.75</v>
      </c>
    </row>
    <row r="189" spans="1:2" x14ac:dyDescent="0.25">
      <c r="A189" s="3">
        <v>36795</v>
      </c>
      <c r="B189" s="2">
        <v>4.75</v>
      </c>
    </row>
    <row r="190" spans="1:2" x14ac:dyDescent="0.25">
      <c r="A190" s="3">
        <v>36794</v>
      </c>
      <c r="B190" s="2">
        <v>4.75</v>
      </c>
    </row>
    <row r="191" spans="1:2" x14ac:dyDescent="0.25">
      <c r="A191" s="3">
        <v>36791</v>
      </c>
      <c r="B191" s="2">
        <v>4.75</v>
      </c>
    </row>
    <row r="192" spans="1:2" x14ac:dyDescent="0.25">
      <c r="A192" s="3">
        <v>36790</v>
      </c>
      <c r="B192" s="2">
        <v>4.75</v>
      </c>
    </row>
    <row r="193" spans="1:2" x14ac:dyDescent="0.25">
      <c r="A193" s="3">
        <v>36789</v>
      </c>
      <c r="B193" s="2">
        <v>4.75</v>
      </c>
    </row>
    <row r="194" spans="1:2" x14ac:dyDescent="0.25">
      <c r="A194" s="3">
        <v>36788</v>
      </c>
      <c r="B194" s="2">
        <v>4.75</v>
      </c>
    </row>
    <row r="195" spans="1:2" x14ac:dyDescent="0.25">
      <c r="A195" s="3">
        <v>36787</v>
      </c>
      <c r="B195" s="2">
        <v>4.75</v>
      </c>
    </row>
    <row r="196" spans="1:2" x14ac:dyDescent="0.25">
      <c r="A196" s="3">
        <v>36784</v>
      </c>
      <c r="B196" s="2">
        <v>4.75</v>
      </c>
    </row>
    <row r="197" spans="1:2" x14ac:dyDescent="0.25">
      <c r="A197" s="3">
        <v>36783</v>
      </c>
      <c r="B197" s="2">
        <v>4.75</v>
      </c>
    </row>
    <row r="198" spans="1:2" x14ac:dyDescent="0.25">
      <c r="A198" s="3">
        <v>36782</v>
      </c>
      <c r="B198" s="2">
        <v>4.75</v>
      </c>
    </row>
    <row r="199" spans="1:2" x14ac:dyDescent="0.25">
      <c r="A199" s="3">
        <v>36780</v>
      </c>
      <c r="B199" s="2">
        <v>4.75</v>
      </c>
    </row>
    <row r="200" spans="1:2" x14ac:dyDescent="0.25">
      <c r="A200" s="3">
        <v>36777</v>
      </c>
      <c r="B200" s="2">
        <v>4.75</v>
      </c>
    </row>
    <row r="201" spans="1:2" x14ac:dyDescent="0.25">
      <c r="A201" s="3">
        <v>36776</v>
      </c>
      <c r="B201" s="2">
        <v>4.75</v>
      </c>
    </row>
    <row r="202" spans="1:2" x14ac:dyDescent="0.25">
      <c r="A202" s="3">
        <v>36775</v>
      </c>
      <c r="B202" s="2">
        <v>4.75</v>
      </c>
    </row>
    <row r="203" spans="1:2" x14ac:dyDescent="0.25">
      <c r="A203" s="3">
        <v>36774</v>
      </c>
      <c r="B203" s="2">
        <v>4.75</v>
      </c>
    </row>
    <row r="204" spans="1:2" x14ac:dyDescent="0.25">
      <c r="A204" s="3">
        <v>36773</v>
      </c>
      <c r="B204" s="2">
        <v>4.75</v>
      </c>
    </row>
    <row r="205" spans="1:2" x14ac:dyDescent="0.25">
      <c r="A205" s="3">
        <v>36770</v>
      </c>
      <c r="B205" s="2">
        <v>4.75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E635D-6038-4FEC-B967-4D8263DB8848}">
  <dimension ref="A1:B105"/>
  <sheetViews>
    <sheetView zoomScale="145" zoomScaleNormal="145" workbookViewId="0">
      <selection activeCell="A105" sqref="A105"/>
    </sheetView>
  </sheetViews>
  <sheetFormatPr defaultRowHeight="15.75" x14ac:dyDescent="0.25"/>
  <cols>
    <col min="1" max="1" width="11" bestFit="1" customWidth="1"/>
    <col min="2" max="2" width="24.85546875" bestFit="1" customWidth="1"/>
  </cols>
  <sheetData>
    <row r="1" spans="1:2" x14ac:dyDescent="0.25">
      <c r="A1" t="s">
        <v>0</v>
      </c>
      <c r="B1" t="s">
        <v>4</v>
      </c>
    </row>
    <row r="2" spans="1:2" x14ac:dyDescent="0.25">
      <c r="A2" s="1">
        <v>46203</v>
      </c>
      <c r="B2">
        <v>12.929</v>
      </c>
    </row>
    <row r="3" spans="1:2" x14ac:dyDescent="0.25">
      <c r="A3" s="1">
        <v>46112</v>
      </c>
      <c r="B3">
        <v>15.426</v>
      </c>
    </row>
    <row r="4" spans="1:2" x14ac:dyDescent="0.25">
      <c r="A4" s="1">
        <v>46022</v>
      </c>
      <c r="B4">
        <v>12.952</v>
      </c>
    </row>
    <row r="5" spans="1:2" x14ac:dyDescent="0.25">
      <c r="A5" s="1">
        <v>45930</v>
      </c>
      <c r="B5">
        <v>8.4169999999999998</v>
      </c>
    </row>
    <row r="6" spans="1:2" x14ac:dyDescent="0.25">
      <c r="A6" s="1">
        <v>45838</v>
      </c>
      <c r="B6">
        <v>7.7050000000000001</v>
      </c>
    </row>
    <row r="7" spans="1:2" x14ac:dyDescent="0.25">
      <c r="A7" s="1">
        <v>45747</v>
      </c>
      <c r="B7">
        <v>5.5359999999999996</v>
      </c>
    </row>
    <row r="8" spans="1:2" x14ac:dyDescent="0.25">
      <c r="A8" s="1">
        <v>45657</v>
      </c>
      <c r="B8">
        <v>4.1319999999999997</v>
      </c>
    </row>
    <row r="9" spans="1:2" x14ac:dyDescent="0.25">
      <c r="A9" s="1">
        <v>45565</v>
      </c>
      <c r="B9">
        <v>4.657</v>
      </c>
    </row>
    <row r="10" spans="1:2" x14ac:dyDescent="0.25">
      <c r="A10" s="1">
        <v>45473</v>
      </c>
      <c r="B10">
        <v>5.3339999999999996</v>
      </c>
    </row>
    <row r="11" spans="1:2" x14ac:dyDescent="0.25">
      <c r="A11" s="1">
        <v>45382</v>
      </c>
      <c r="B11">
        <v>7.16</v>
      </c>
    </row>
    <row r="12" spans="1:2" x14ac:dyDescent="0.25">
      <c r="A12" s="1">
        <v>45291</v>
      </c>
      <c r="B12">
        <v>4.7370000000000001</v>
      </c>
    </row>
    <row r="13" spans="1:2" x14ac:dyDescent="0.25">
      <c r="A13" s="1">
        <v>45199</v>
      </c>
      <c r="B13">
        <v>1.5609999999999999</v>
      </c>
    </row>
    <row r="14" spans="1:2" x14ac:dyDescent="0.25">
      <c r="A14" s="1">
        <v>45107</v>
      </c>
      <c r="B14">
        <v>1.421</v>
      </c>
    </row>
    <row r="15" spans="1:2" x14ac:dyDescent="0.25">
      <c r="A15" s="1">
        <v>45016</v>
      </c>
      <c r="B15">
        <v>-3.5840000000000001</v>
      </c>
    </row>
    <row r="16" spans="1:2" x14ac:dyDescent="0.25">
      <c r="A16" s="1">
        <v>44926</v>
      </c>
      <c r="B16">
        <v>-0.43</v>
      </c>
    </row>
    <row r="17" spans="1:2" x14ac:dyDescent="0.25">
      <c r="A17" s="1">
        <v>44834</v>
      </c>
      <c r="B17">
        <v>4.0599999999999996</v>
      </c>
    </row>
    <row r="18" spans="1:2" x14ac:dyDescent="0.25">
      <c r="A18" s="1">
        <v>44742</v>
      </c>
      <c r="B18">
        <v>3.5129999999999999</v>
      </c>
    </row>
    <row r="19" spans="1:2" x14ac:dyDescent="0.25">
      <c r="A19" s="1">
        <v>44651</v>
      </c>
      <c r="B19">
        <v>3.8479999999999999</v>
      </c>
    </row>
    <row r="20" spans="1:2" x14ac:dyDescent="0.25">
      <c r="A20" s="1">
        <v>44561</v>
      </c>
      <c r="B20">
        <v>5.0979999999999999</v>
      </c>
    </row>
    <row r="21" spans="1:2" x14ac:dyDescent="0.25">
      <c r="A21" s="1">
        <v>44469</v>
      </c>
      <c r="B21">
        <v>4.3179999999999996</v>
      </c>
    </row>
    <row r="22" spans="1:2" x14ac:dyDescent="0.25">
      <c r="A22" s="1">
        <v>44377</v>
      </c>
      <c r="B22">
        <v>8.2799999999999994</v>
      </c>
    </row>
    <row r="23" spans="1:2" x14ac:dyDescent="0.25">
      <c r="A23" s="1">
        <v>44286</v>
      </c>
      <c r="B23">
        <v>9.6159999999999997</v>
      </c>
    </row>
    <row r="24" spans="1:2" x14ac:dyDescent="0.25">
      <c r="A24" s="1">
        <v>44196</v>
      </c>
      <c r="B24">
        <v>5.4779999999999998</v>
      </c>
    </row>
    <row r="25" spans="1:2" x14ac:dyDescent="0.25">
      <c r="A25" s="1">
        <v>44104</v>
      </c>
      <c r="B25">
        <v>4.2350000000000003</v>
      </c>
    </row>
    <row r="26" spans="1:2" x14ac:dyDescent="0.25">
      <c r="A26" s="1">
        <v>44012</v>
      </c>
      <c r="B26">
        <v>0.55300000000000005</v>
      </c>
    </row>
    <row r="27" spans="1:2" x14ac:dyDescent="0.25">
      <c r="A27" s="1">
        <v>43921</v>
      </c>
      <c r="B27">
        <v>3.2069999999999999</v>
      </c>
    </row>
    <row r="28" spans="1:2" x14ac:dyDescent="0.25">
      <c r="A28" s="1">
        <v>43830</v>
      </c>
      <c r="B28">
        <v>3.681</v>
      </c>
    </row>
    <row r="29" spans="1:2" x14ac:dyDescent="0.25">
      <c r="A29" s="1">
        <v>43738</v>
      </c>
      <c r="B29">
        <v>3.4129999999999998</v>
      </c>
    </row>
    <row r="30" spans="1:2" x14ac:dyDescent="0.25">
      <c r="A30" s="1">
        <v>43646</v>
      </c>
      <c r="B30">
        <v>2.964</v>
      </c>
    </row>
    <row r="31" spans="1:2" x14ac:dyDescent="0.25">
      <c r="A31" s="1">
        <v>43555</v>
      </c>
      <c r="B31">
        <v>2.0790000000000002</v>
      </c>
    </row>
    <row r="32" spans="1:2" x14ac:dyDescent="0.25">
      <c r="A32" s="1">
        <v>43465</v>
      </c>
      <c r="B32">
        <v>2.3279999999999998</v>
      </c>
    </row>
    <row r="33" spans="1:2" x14ac:dyDescent="0.25">
      <c r="A33" s="1">
        <v>43373</v>
      </c>
      <c r="B33">
        <v>2.5150000000000001</v>
      </c>
    </row>
    <row r="34" spans="1:2" x14ac:dyDescent="0.25">
      <c r="A34" s="1">
        <v>43281</v>
      </c>
      <c r="B34">
        <v>3.4319999999999999</v>
      </c>
    </row>
    <row r="35" spans="1:2" x14ac:dyDescent="0.25">
      <c r="A35" s="1">
        <v>43190</v>
      </c>
      <c r="B35">
        <v>3.427</v>
      </c>
    </row>
    <row r="36" spans="1:2" x14ac:dyDescent="0.25">
      <c r="A36" s="1">
        <v>43100</v>
      </c>
      <c r="B36">
        <v>4.1219999999999999</v>
      </c>
    </row>
    <row r="37" spans="1:2" x14ac:dyDescent="0.25">
      <c r="A37" s="1">
        <v>43008</v>
      </c>
      <c r="B37">
        <v>3.976</v>
      </c>
    </row>
    <row r="38" spans="1:2" x14ac:dyDescent="0.25">
      <c r="A38" s="1">
        <v>42916</v>
      </c>
      <c r="B38">
        <v>2.786</v>
      </c>
    </row>
    <row r="39" spans="1:2" x14ac:dyDescent="0.25">
      <c r="A39" s="1">
        <v>42825</v>
      </c>
      <c r="B39">
        <v>3.722</v>
      </c>
    </row>
    <row r="40" spans="1:2" x14ac:dyDescent="0.25">
      <c r="A40" s="1">
        <v>42735</v>
      </c>
      <c r="B40">
        <v>3.9159999999999999</v>
      </c>
    </row>
    <row r="41" spans="1:2" x14ac:dyDescent="0.25">
      <c r="A41" s="1">
        <v>42643</v>
      </c>
      <c r="B41">
        <v>3</v>
      </c>
    </row>
    <row r="42" spans="1:2" x14ac:dyDescent="0.25">
      <c r="A42" s="1">
        <v>42551</v>
      </c>
      <c r="B42">
        <v>1.6910000000000001</v>
      </c>
    </row>
    <row r="43" spans="1:2" x14ac:dyDescent="0.25">
      <c r="A43" s="1">
        <v>42460</v>
      </c>
      <c r="B43">
        <v>-8.6999999999999994E-2</v>
      </c>
    </row>
    <row r="44" spans="1:2" x14ac:dyDescent="0.25">
      <c r="A44" s="1">
        <v>42369</v>
      </c>
      <c r="B44">
        <v>-0.20300000000000001</v>
      </c>
    </row>
    <row r="45" spans="1:2" x14ac:dyDescent="0.25">
      <c r="A45" s="1">
        <v>42277</v>
      </c>
      <c r="B45">
        <v>-0.28399999999999997</v>
      </c>
    </row>
    <row r="46" spans="1:2" x14ac:dyDescent="0.25">
      <c r="A46" s="1">
        <v>42185</v>
      </c>
      <c r="B46">
        <v>1.8939999999999999</v>
      </c>
    </row>
    <row r="47" spans="1:2" x14ac:dyDescent="0.25">
      <c r="A47" s="1">
        <v>42094</v>
      </c>
      <c r="B47">
        <v>4.7930000000000001</v>
      </c>
    </row>
    <row r="48" spans="1:2" x14ac:dyDescent="0.25">
      <c r="A48" s="1">
        <v>42004</v>
      </c>
      <c r="B48">
        <v>4.3760000000000003</v>
      </c>
    </row>
    <row r="49" spans="1:2" x14ac:dyDescent="0.25">
      <c r="A49" s="1">
        <v>41912</v>
      </c>
      <c r="B49">
        <v>4.9039999999999999</v>
      </c>
    </row>
    <row r="50" spans="1:2" x14ac:dyDescent="0.25">
      <c r="A50" s="1">
        <v>41820</v>
      </c>
      <c r="B50">
        <v>4.9240000000000004</v>
      </c>
    </row>
    <row r="51" spans="1:2" x14ac:dyDescent="0.25">
      <c r="A51" s="1">
        <v>41729</v>
      </c>
      <c r="B51">
        <v>4.6879999999999997</v>
      </c>
    </row>
    <row r="52" spans="1:2" x14ac:dyDescent="0.25">
      <c r="A52" s="1">
        <v>41639</v>
      </c>
      <c r="B52">
        <v>3.7250000000000001</v>
      </c>
    </row>
    <row r="53" spans="1:2" x14ac:dyDescent="0.25">
      <c r="A53" s="1">
        <v>41547</v>
      </c>
      <c r="B53">
        <v>1.95</v>
      </c>
    </row>
    <row r="54" spans="1:2" x14ac:dyDescent="0.25">
      <c r="A54" s="1">
        <v>41455</v>
      </c>
      <c r="B54">
        <v>2.6760000000000002</v>
      </c>
    </row>
    <row r="55" spans="1:2" x14ac:dyDescent="0.25">
      <c r="A55" s="1">
        <v>41364</v>
      </c>
      <c r="B55">
        <v>1.496</v>
      </c>
    </row>
    <row r="56" spans="1:2" x14ac:dyDescent="0.25">
      <c r="A56" s="1">
        <v>41274</v>
      </c>
      <c r="B56">
        <v>4.4749999999999996</v>
      </c>
    </row>
    <row r="57" spans="1:2" x14ac:dyDescent="0.25">
      <c r="A57" s="1">
        <v>41182</v>
      </c>
      <c r="B57">
        <v>2.1779999999999999</v>
      </c>
    </row>
    <row r="58" spans="1:2" x14ac:dyDescent="0.25">
      <c r="A58" s="1">
        <v>41090</v>
      </c>
      <c r="B58">
        <v>1.038</v>
      </c>
    </row>
    <row r="59" spans="1:2" x14ac:dyDescent="0.25">
      <c r="A59" s="1">
        <v>40999</v>
      </c>
      <c r="B59">
        <v>1.089</v>
      </c>
    </row>
    <row r="60" spans="1:2" x14ac:dyDescent="0.25">
      <c r="A60" s="1">
        <v>40908</v>
      </c>
      <c r="B60">
        <v>0.89400000000000002</v>
      </c>
    </row>
    <row r="61" spans="1:2" x14ac:dyDescent="0.25">
      <c r="A61" s="1">
        <v>40816</v>
      </c>
      <c r="B61">
        <v>3.2829999999999999</v>
      </c>
    </row>
    <row r="62" spans="1:2" x14ac:dyDescent="0.25">
      <c r="A62" s="1">
        <v>40724</v>
      </c>
      <c r="B62">
        <v>4.1589999999999998</v>
      </c>
    </row>
    <row r="63" spans="1:2" x14ac:dyDescent="0.25">
      <c r="A63" s="1">
        <v>40633</v>
      </c>
      <c r="B63">
        <v>6.7190000000000003</v>
      </c>
    </row>
    <row r="64" spans="1:2" x14ac:dyDescent="0.25">
      <c r="A64" s="1">
        <v>40543</v>
      </c>
      <c r="B64">
        <v>6.34</v>
      </c>
    </row>
    <row r="65" spans="1:2" x14ac:dyDescent="0.25">
      <c r="A65" s="1">
        <v>40451</v>
      </c>
      <c r="B65">
        <v>11.544</v>
      </c>
    </row>
    <row r="66" spans="1:2" x14ac:dyDescent="0.25">
      <c r="A66" s="1">
        <v>40359</v>
      </c>
      <c r="B66">
        <v>12.021000000000001</v>
      </c>
    </row>
    <row r="67" spans="1:2" x14ac:dyDescent="0.25">
      <c r="A67" s="1">
        <v>40268</v>
      </c>
      <c r="B67">
        <v>11.547000000000001</v>
      </c>
    </row>
    <row r="68" spans="1:2" x14ac:dyDescent="0.25">
      <c r="A68" s="1">
        <v>40178</v>
      </c>
      <c r="B68">
        <v>8.5779999999999994</v>
      </c>
    </row>
    <row r="69" spans="1:2" x14ac:dyDescent="0.25">
      <c r="A69" s="1">
        <v>40086</v>
      </c>
      <c r="B69">
        <v>-1.1359999999999999</v>
      </c>
    </row>
    <row r="70" spans="1:2" x14ac:dyDescent="0.25">
      <c r="A70" s="1">
        <v>39994</v>
      </c>
      <c r="B70">
        <v>-5.9219999999999997</v>
      </c>
    </row>
    <row r="71" spans="1:2" x14ac:dyDescent="0.25">
      <c r="A71" s="1">
        <v>39903</v>
      </c>
      <c r="B71">
        <v>-7.8719999999999999</v>
      </c>
    </row>
    <row r="72" spans="1:2" x14ac:dyDescent="0.25">
      <c r="A72" s="1">
        <v>39813</v>
      </c>
      <c r="B72">
        <v>-7.3579999999999997</v>
      </c>
    </row>
    <row r="73" spans="1:2" x14ac:dyDescent="0.25">
      <c r="A73" s="1">
        <v>39721</v>
      </c>
      <c r="B73">
        <v>-1.3919999999999999</v>
      </c>
    </row>
    <row r="74" spans="1:2" x14ac:dyDescent="0.25">
      <c r="A74" s="1">
        <v>39629</v>
      </c>
      <c r="B74">
        <v>5.6550000000000002</v>
      </c>
    </row>
    <row r="75" spans="1:2" x14ac:dyDescent="0.25">
      <c r="A75" s="1">
        <v>39538</v>
      </c>
      <c r="B75">
        <v>7.657</v>
      </c>
    </row>
    <row r="76" spans="1:2" x14ac:dyDescent="0.25">
      <c r="A76" s="1">
        <v>39447</v>
      </c>
      <c r="B76">
        <v>6.577</v>
      </c>
    </row>
    <row r="77" spans="1:2" x14ac:dyDescent="0.25">
      <c r="A77" s="1">
        <v>39355</v>
      </c>
      <c r="B77">
        <v>7.9749999999999996</v>
      </c>
    </row>
    <row r="78" spans="1:2" x14ac:dyDescent="0.25">
      <c r="A78" s="1">
        <v>39263</v>
      </c>
      <c r="B78">
        <v>7.1239999999999997</v>
      </c>
    </row>
    <row r="79" spans="1:2" x14ac:dyDescent="0.25">
      <c r="A79" s="1">
        <v>39172</v>
      </c>
      <c r="B79">
        <v>5.641</v>
      </c>
    </row>
    <row r="80" spans="1:2" x14ac:dyDescent="0.25">
      <c r="A80" s="1">
        <v>39082</v>
      </c>
      <c r="B80">
        <v>4.327</v>
      </c>
    </row>
    <row r="81" spans="1:2" x14ac:dyDescent="0.25">
      <c r="A81" s="1">
        <v>38990</v>
      </c>
      <c r="B81">
        <v>7.1879999999999997</v>
      </c>
    </row>
    <row r="82" spans="1:2" x14ac:dyDescent="0.25">
      <c r="A82" s="1">
        <v>38898</v>
      </c>
      <c r="B82">
        <v>5.64</v>
      </c>
    </row>
    <row r="83" spans="1:2" x14ac:dyDescent="0.25">
      <c r="A83" s="1">
        <v>38807</v>
      </c>
      <c r="B83">
        <v>6.0529999999999999</v>
      </c>
    </row>
    <row r="84" spans="1:2" x14ac:dyDescent="0.25">
      <c r="A84" s="1">
        <v>38717</v>
      </c>
      <c r="B84">
        <v>7.6319999999999997</v>
      </c>
    </row>
    <row r="85" spans="1:2" x14ac:dyDescent="0.25">
      <c r="A85" s="1">
        <v>38625</v>
      </c>
      <c r="B85">
        <v>5.0670000000000002</v>
      </c>
    </row>
    <row r="86" spans="1:2" x14ac:dyDescent="0.25">
      <c r="A86" s="1">
        <v>38533</v>
      </c>
      <c r="B86">
        <v>4.8209999999999997</v>
      </c>
    </row>
    <row r="87" spans="1:2" x14ac:dyDescent="0.25">
      <c r="A87" s="1">
        <v>38442</v>
      </c>
      <c r="B87">
        <v>3.76</v>
      </c>
    </row>
    <row r="88" spans="1:2" x14ac:dyDescent="0.25">
      <c r="A88" s="1">
        <v>38352</v>
      </c>
      <c r="B88">
        <v>3.601</v>
      </c>
    </row>
    <row r="89" spans="1:2" x14ac:dyDescent="0.25">
      <c r="A89" s="1">
        <v>38260</v>
      </c>
      <c r="B89">
        <v>7.0529999999999999</v>
      </c>
    </row>
    <row r="90" spans="1:2" x14ac:dyDescent="0.25">
      <c r="A90" s="1">
        <v>38168</v>
      </c>
      <c r="B90">
        <v>10.798999999999999</v>
      </c>
    </row>
    <row r="91" spans="1:2" x14ac:dyDescent="0.25">
      <c r="A91" s="1">
        <v>38077</v>
      </c>
      <c r="B91">
        <v>6.931</v>
      </c>
    </row>
    <row r="92" spans="1:2" x14ac:dyDescent="0.25">
      <c r="A92" s="1">
        <v>37986</v>
      </c>
      <c r="B92">
        <v>7.2560000000000002</v>
      </c>
    </row>
    <row r="93" spans="1:2" x14ac:dyDescent="0.25">
      <c r="A93" s="1">
        <v>37894</v>
      </c>
      <c r="B93">
        <v>5.4050000000000002</v>
      </c>
    </row>
    <row r="94" spans="1:2" x14ac:dyDescent="0.25">
      <c r="A94" s="1">
        <v>37802</v>
      </c>
      <c r="B94">
        <v>-1.151</v>
      </c>
    </row>
    <row r="95" spans="1:2" x14ac:dyDescent="0.25">
      <c r="A95" s="1">
        <v>37711</v>
      </c>
      <c r="B95">
        <v>5.173</v>
      </c>
    </row>
    <row r="96" spans="1:2" x14ac:dyDescent="0.25">
      <c r="A96" s="1">
        <v>37621</v>
      </c>
      <c r="B96">
        <v>6.22</v>
      </c>
    </row>
    <row r="97" spans="1:2" x14ac:dyDescent="0.25">
      <c r="A97" s="1">
        <v>37529</v>
      </c>
      <c r="B97">
        <v>7.0250000000000004</v>
      </c>
    </row>
    <row r="98" spans="1:2" x14ac:dyDescent="0.25">
      <c r="A98" s="1">
        <v>37437</v>
      </c>
      <c r="B98">
        <v>6.7510000000000003</v>
      </c>
    </row>
    <row r="99" spans="1:2" x14ac:dyDescent="0.25">
      <c r="A99" s="1">
        <v>37346</v>
      </c>
      <c r="B99">
        <v>1.823</v>
      </c>
    </row>
    <row r="100" spans="1:2" x14ac:dyDescent="0.25">
      <c r="A100" s="1">
        <v>37256</v>
      </c>
      <c r="B100">
        <v>-0.30199999999999999</v>
      </c>
    </row>
    <row r="101" spans="1:2" x14ac:dyDescent="0.25">
      <c r="A101" s="1">
        <v>37164</v>
      </c>
      <c r="B101">
        <v>-4.0640000000000001</v>
      </c>
    </row>
    <row r="102" spans="1:2" x14ac:dyDescent="0.25">
      <c r="A102" s="1">
        <v>37072</v>
      </c>
      <c r="B102">
        <v>-2.552</v>
      </c>
    </row>
    <row r="103" spans="1:2" x14ac:dyDescent="0.25">
      <c r="A103" s="1">
        <v>36981</v>
      </c>
      <c r="B103">
        <v>1.4530000000000001</v>
      </c>
    </row>
    <row r="104" spans="1:2" x14ac:dyDescent="0.25">
      <c r="A104" s="1">
        <v>36891</v>
      </c>
      <c r="B104">
        <v>5.7830000000000004</v>
      </c>
    </row>
    <row r="105" spans="1:2" x14ac:dyDescent="0.25">
      <c r="A105" s="1">
        <v>36799</v>
      </c>
      <c r="B105">
        <v>7.1890000000000001</v>
      </c>
    </row>
  </sheetData>
  <autoFilter ref="A1:B105" xr:uid="{6C3E635D-6038-4FEC-B967-4D8263DB8848}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FCF42-3B4E-40A6-A1C4-58C1D10924FB}">
  <dimension ref="A1:D315"/>
  <sheetViews>
    <sheetView zoomScale="130" zoomScaleNormal="130" workbookViewId="0">
      <selection activeCell="C28" sqref="C28"/>
    </sheetView>
  </sheetViews>
  <sheetFormatPr defaultRowHeight="15.75" x14ac:dyDescent="0.25"/>
  <cols>
    <col min="1" max="1" width="11" bestFit="1" customWidth="1"/>
    <col min="2" max="4" width="23.5703125" bestFit="1" customWidth="1"/>
  </cols>
  <sheetData>
    <row r="1" spans="1:4" x14ac:dyDescent="0.25">
      <c r="A1" t="s">
        <v>0</v>
      </c>
      <c r="B1" t="s">
        <v>5</v>
      </c>
      <c r="C1" t="s">
        <v>6</v>
      </c>
      <c r="D1" t="s">
        <v>6</v>
      </c>
    </row>
    <row r="2" spans="1:4" x14ac:dyDescent="0.25">
      <c r="A2" s="1">
        <v>46234</v>
      </c>
      <c r="B2">
        <v>2.38</v>
      </c>
      <c r="C2" s="4">
        <v>2.3133333333333335</v>
      </c>
      <c r="D2" s="4">
        <f>AVERAGE(B2:B4)</f>
        <v>2.3133333333333335</v>
      </c>
    </row>
    <row r="3" spans="1:4" x14ac:dyDescent="0.25">
      <c r="A3" s="1">
        <v>46203</v>
      </c>
      <c r="B3">
        <v>2.44</v>
      </c>
    </row>
    <row r="4" spans="1:4" x14ac:dyDescent="0.25">
      <c r="A4" s="1">
        <v>46173</v>
      </c>
      <c r="B4">
        <v>2.12</v>
      </c>
    </row>
    <row r="5" spans="1:4" x14ac:dyDescent="0.25">
      <c r="A5" s="1">
        <v>46142</v>
      </c>
      <c r="B5">
        <v>1.9</v>
      </c>
      <c r="C5" s="4">
        <v>2.15</v>
      </c>
      <c r="D5" s="4">
        <f>AVERAGE(B5:B7)</f>
        <v>2.15</v>
      </c>
    </row>
    <row r="6" spans="1:4" x14ac:dyDescent="0.25">
      <c r="A6" s="1">
        <v>46112</v>
      </c>
      <c r="B6">
        <v>1.94</v>
      </c>
    </row>
    <row r="7" spans="1:4" x14ac:dyDescent="0.25">
      <c r="A7" s="1">
        <v>46081</v>
      </c>
      <c r="B7">
        <v>2.61</v>
      </c>
    </row>
    <row r="8" spans="1:4" x14ac:dyDescent="0.25">
      <c r="A8" s="1">
        <v>46053</v>
      </c>
      <c r="B8">
        <v>1.25</v>
      </c>
      <c r="C8" s="4">
        <v>1.5966666666666667</v>
      </c>
      <c r="D8" s="4">
        <f>AVERAGE(B8:B10)</f>
        <v>1.5966666666666667</v>
      </c>
    </row>
    <row r="9" spans="1:4" x14ac:dyDescent="0.25">
      <c r="A9" s="1">
        <v>46022</v>
      </c>
      <c r="B9">
        <v>1.83</v>
      </c>
    </row>
    <row r="10" spans="1:4" x14ac:dyDescent="0.25">
      <c r="A10" s="1">
        <v>45991</v>
      </c>
      <c r="B10">
        <v>1.71</v>
      </c>
    </row>
    <row r="11" spans="1:4" x14ac:dyDescent="0.25">
      <c r="A11" s="1">
        <v>45961</v>
      </c>
      <c r="B11">
        <v>1.83</v>
      </c>
      <c r="C11" s="4">
        <v>1.68</v>
      </c>
      <c r="D11" s="4">
        <f>AVERAGE(B11:B13)</f>
        <v>1.68</v>
      </c>
    </row>
    <row r="12" spans="1:4" x14ac:dyDescent="0.25">
      <c r="A12" s="1">
        <v>45930</v>
      </c>
      <c r="B12">
        <v>1.46</v>
      </c>
    </row>
    <row r="13" spans="1:4" x14ac:dyDescent="0.25">
      <c r="A13" s="1">
        <v>45900</v>
      </c>
      <c r="B13">
        <v>1.75</v>
      </c>
    </row>
    <row r="14" spans="1:4" x14ac:dyDescent="0.25">
      <c r="A14" s="1">
        <v>45869</v>
      </c>
      <c r="B14">
        <v>1.69</v>
      </c>
      <c r="C14" s="4">
        <v>1.5866666666666667</v>
      </c>
      <c r="D14" s="4">
        <f>AVERAGE(B14:B16)</f>
        <v>1.5866666666666667</v>
      </c>
    </row>
    <row r="15" spans="1:4" x14ac:dyDescent="0.25">
      <c r="A15" s="1">
        <v>45838</v>
      </c>
      <c r="B15">
        <v>1.46</v>
      </c>
    </row>
    <row r="16" spans="1:4" x14ac:dyDescent="0.25">
      <c r="A16" s="1">
        <v>45808</v>
      </c>
      <c r="B16">
        <v>1.61</v>
      </c>
    </row>
    <row r="17" spans="1:4" x14ac:dyDescent="0.25">
      <c r="A17" s="1">
        <v>45777</v>
      </c>
      <c r="B17">
        <v>1.67</v>
      </c>
      <c r="C17" s="4">
        <v>1.4366666666666668</v>
      </c>
      <c r="D17" s="4">
        <f>AVERAGE(B17:B19)</f>
        <v>1.4366666666666668</v>
      </c>
    </row>
    <row r="18" spans="1:4" x14ac:dyDescent="0.25">
      <c r="A18" s="1">
        <v>45747</v>
      </c>
      <c r="B18">
        <v>1.66</v>
      </c>
    </row>
    <row r="19" spans="1:4" x14ac:dyDescent="0.25">
      <c r="A19" s="1">
        <v>45716</v>
      </c>
      <c r="B19">
        <v>0.98</v>
      </c>
    </row>
    <row r="20" spans="1:4" x14ac:dyDescent="0.25">
      <c r="A20" s="1">
        <v>45688</v>
      </c>
      <c r="B20">
        <v>2.2599999999999998</v>
      </c>
      <c r="C20" s="4">
        <v>1.88</v>
      </c>
      <c r="D20" s="4">
        <f>AVERAGE(B20:B22)</f>
        <v>1.88</v>
      </c>
    </row>
    <row r="21" spans="1:4" x14ac:dyDescent="0.25">
      <c r="A21" s="1">
        <v>45657</v>
      </c>
      <c r="B21">
        <v>1.65</v>
      </c>
    </row>
    <row r="22" spans="1:4" x14ac:dyDescent="0.25">
      <c r="A22" s="1">
        <v>45626</v>
      </c>
      <c r="B22">
        <v>1.73</v>
      </c>
    </row>
    <row r="23" spans="1:4" x14ac:dyDescent="0.25">
      <c r="A23" s="1">
        <v>45596</v>
      </c>
      <c r="B23">
        <v>1.64</v>
      </c>
      <c r="C23" s="4">
        <v>1.74</v>
      </c>
      <c r="D23" s="4">
        <f>AVERAGE(B23:B25)</f>
        <v>1.74</v>
      </c>
    </row>
    <row r="24" spans="1:4" x14ac:dyDescent="0.25">
      <c r="A24" s="1">
        <v>45565</v>
      </c>
      <c r="B24">
        <v>1.78</v>
      </c>
    </row>
    <row r="25" spans="1:4" x14ac:dyDescent="0.25">
      <c r="A25" s="1">
        <v>45535</v>
      </c>
      <c r="B25">
        <v>1.8</v>
      </c>
    </row>
    <row r="26" spans="1:4" x14ac:dyDescent="0.25">
      <c r="A26" s="1">
        <v>45504</v>
      </c>
      <c r="B26">
        <v>1.85</v>
      </c>
      <c r="C26" s="4">
        <v>1.8366666666666667</v>
      </c>
      <c r="D26" s="4">
        <f>AVERAGE(B26:B28)</f>
        <v>1.8366666666666667</v>
      </c>
    </row>
    <row r="27" spans="1:4" x14ac:dyDescent="0.25">
      <c r="A27" s="1">
        <v>45473</v>
      </c>
      <c r="B27">
        <v>1.83</v>
      </c>
    </row>
    <row r="28" spans="1:4" x14ac:dyDescent="0.25">
      <c r="A28" s="1">
        <v>45443</v>
      </c>
      <c r="B28">
        <v>1.83</v>
      </c>
    </row>
    <row r="29" spans="1:4" x14ac:dyDescent="0.25">
      <c r="A29" s="1">
        <v>45412</v>
      </c>
      <c r="B29">
        <v>1.81</v>
      </c>
      <c r="C29" s="4">
        <v>2.2799999999999998</v>
      </c>
      <c r="D29" s="4">
        <f>AVERAGE(B29:B31)</f>
        <v>2.2799999999999998</v>
      </c>
    </row>
    <row r="30" spans="1:4" x14ac:dyDescent="0.25">
      <c r="A30" s="1">
        <v>45382</v>
      </c>
      <c r="B30">
        <v>2.14</v>
      </c>
    </row>
    <row r="31" spans="1:4" x14ac:dyDescent="0.25">
      <c r="A31" s="1">
        <v>45351</v>
      </c>
      <c r="B31">
        <v>2.89</v>
      </c>
    </row>
    <row r="32" spans="1:4" x14ac:dyDescent="0.25">
      <c r="A32" s="1">
        <v>45322</v>
      </c>
      <c r="B32">
        <v>1.65</v>
      </c>
      <c r="C32" s="4">
        <v>2.1566666666666667</v>
      </c>
      <c r="D32" s="4">
        <f>AVERAGE(B32:B34)</f>
        <v>2.1566666666666667</v>
      </c>
    </row>
    <row r="33" spans="1:4" x14ac:dyDescent="0.25">
      <c r="A33" s="1">
        <v>45291</v>
      </c>
      <c r="B33">
        <v>2.4300000000000002</v>
      </c>
    </row>
    <row r="34" spans="1:4" x14ac:dyDescent="0.25">
      <c r="A34" s="1">
        <v>45260</v>
      </c>
      <c r="B34">
        <v>2.39</v>
      </c>
    </row>
    <row r="35" spans="1:4" x14ac:dyDescent="0.25">
      <c r="A35" s="1">
        <v>45230</v>
      </c>
      <c r="B35">
        <v>2.4900000000000002</v>
      </c>
      <c r="C35" s="4">
        <v>2.5133333333333336</v>
      </c>
      <c r="D35" s="4">
        <f>AVERAGE(B35:B37)</f>
        <v>2.5133333333333336</v>
      </c>
    </row>
    <row r="36" spans="1:4" x14ac:dyDescent="0.25">
      <c r="A36" s="1">
        <v>45199</v>
      </c>
      <c r="B36">
        <v>2.48</v>
      </c>
    </row>
    <row r="37" spans="1:4" x14ac:dyDescent="0.25">
      <c r="A37" s="1">
        <v>45169</v>
      </c>
      <c r="B37">
        <v>2.57</v>
      </c>
    </row>
    <row r="38" spans="1:4" x14ac:dyDescent="0.25">
      <c r="A38" s="1">
        <v>45138</v>
      </c>
      <c r="B38">
        <v>2.73</v>
      </c>
      <c r="C38" s="4">
        <v>2.6366666666666667</v>
      </c>
      <c r="D38" s="4">
        <f>AVERAGE(B38:B40)</f>
        <v>2.6366666666666667</v>
      </c>
    </row>
    <row r="39" spans="1:4" x14ac:dyDescent="0.25">
      <c r="A39" s="1">
        <v>45107</v>
      </c>
      <c r="B39">
        <v>2.61</v>
      </c>
    </row>
    <row r="40" spans="1:4" x14ac:dyDescent="0.25">
      <c r="A40" s="1">
        <v>45077</v>
      </c>
      <c r="B40">
        <v>2.57</v>
      </c>
    </row>
    <row r="41" spans="1:4" x14ac:dyDescent="0.25">
      <c r="A41" s="1">
        <v>45046</v>
      </c>
      <c r="B41">
        <v>2.72</v>
      </c>
      <c r="C41" s="4">
        <v>2.6066666666666665</v>
      </c>
      <c r="D41" s="4">
        <f>AVERAGE(B41:B43)</f>
        <v>2.6066666666666665</v>
      </c>
    </row>
    <row r="42" spans="1:4" x14ac:dyDescent="0.25">
      <c r="A42" s="1">
        <v>45016</v>
      </c>
      <c r="B42">
        <v>2.5499999999999998</v>
      </c>
    </row>
    <row r="43" spans="1:4" x14ac:dyDescent="0.25">
      <c r="A43" s="1">
        <v>44985</v>
      </c>
      <c r="B43">
        <v>2.5499999999999998</v>
      </c>
    </row>
    <row r="44" spans="1:4" x14ac:dyDescent="0.25">
      <c r="A44" s="1">
        <v>44957</v>
      </c>
      <c r="B44">
        <v>2.98</v>
      </c>
      <c r="C44" s="4">
        <v>2.8533333333333335</v>
      </c>
      <c r="D44" s="4">
        <f>AVERAGE(B44:B46)</f>
        <v>2.8533333333333335</v>
      </c>
    </row>
    <row r="45" spans="1:4" x14ac:dyDescent="0.25">
      <c r="A45" s="1">
        <v>44926</v>
      </c>
      <c r="B45">
        <v>2.72</v>
      </c>
    </row>
    <row r="46" spans="1:4" x14ac:dyDescent="0.25">
      <c r="A46" s="1">
        <v>44895</v>
      </c>
      <c r="B46">
        <v>2.86</v>
      </c>
    </row>
    <row r="47" spans="1:4" x14ac:dyDescent="0.25">
      <c r="A47" s="1">
        <v>44865</v>
      </c>
      <c r="B47">
        <v>2.97</v>
      </c>
      <c r="C47" s="4">
        <v>2.8366666666666664</v>
      </c>
      <c r="D47" s="4">
        <f>AVERAGE(B47:B49)</f>
        <v>2.8366666666666664</v>
      </c>
    </row>
    <row r="48" spans="1:4" x14ac:dyDescent="0.25">
      <c r="A48" s="1">
        <v>44834</v>
      </c>
      <c r="B48">
        <v>2.8</v>
      </c>
    </row>
    <row r="49" spans="1:4" x14ac:dyDescent="0.25">
      <c r="A49" s="1">
        <v>44804</v>
      </c>
      <c r="B49">
        <v>2.74</v>
      </c>
    </row>
    <row r="50" spans="1:4" x14ac:dyDescent="0.25">
      <c r="A50" s="1">
        <v>44773</v>
      </c>
      <c r="B50">
        <v>2.73</v>
      </c>
      <c r="C50" s="4">
        <v>2.7033333333333331</v>
      </c>
      <c r="D50" s="4">
        <f>AVERAGE(B50:B52)</f>
        <v>2.7033333333333331</v>
      </c>
    </row>
    <row r="51" spans="1:4" x14ac:dyDescent="0.25">
      <c r="A51" s="1">
        <v>44742</v>
      </c>
      <c r="B51">
        <v>2.77</v>
      </c>
    </row>
    <row r="52" spans="1:4" x14ac:dyDescent="0.25">
      <c r="A52" s="1">
        <v>44712</v>
      </c>
      <c r="B52">
        <v>2.61</v>
      </c>
    </row>
    <row r="53" spans="1:4" x14ac:dyDescent="0.25">
      <c r="A53" s="1">
        <v>44681</v>
      </c>
      <c r="B53">
        <v>2.5299999999999998</v>
      </c>
      <c r="C53" s="4">
        <v>2.2133333333333334</v>
      </c>
      <c r="D53" s="4">
        <f>AVERAGE(B53:B55)</f>
        <v>2.2133333333333334</v>
      </c>
    </row>
    <row r="54" spans="1:4" x14ac:dyDescent="0.25">
      <c r="A54" s="1">
        <v>44651</v>
      </c>
      <c r="B54">
        <v>2.4700000000000002</v>
      </c>
      <c r="C54" s="4"/>
      <c r="D54" s="4"/>
    </row>
    <row r="55" spans="1:4" x14ac:dyDescent="0.25">
      <c r="A55" s="1">
        <v>44620</v>
      </c>
      <c r="B55">
        <v>1.64</v>
      </c>
    </row>
    <row r="56" spans="1:4" x14ac:dyDescent="0.25">
      <c r="A56" s="1">
        <v>44592</v>
      </c>
      <c r="B56">
        <v>2.42</v>
      </c>
      <c r="C56" s="4">
        <v>1.9233333333333331</v>
      </c>
      <c r="D56" s="4">
        <f>AVERAGE(B56:B58)</f>
        <v>1.9233333333333331</v>
      </c>
    </row>
    <row r="57" spans="1:4" x14ac:dyDescent="0.25">
      <c r="A57" s="1">
        <v>44561</v>
      </c>
      <c r="B57">
        <v>1.85</v>
      </c>
    </row>
    <row r="58" spans="1:4" x14ac:dyDescent="0.25">
      <c r="A58" s="1">
        <v>44530</v>
      </c>
      <c r="B58">
        <v>1.5</v>
      </c>
    </row>
    <row r="59" spans="1:4" x14ac:dyDescent="0.25">
      <c r="A59" s="1">
        <v>44500</v>
      </c>
      <c r="B59">
        <v>1.41</v>
      </c>
      <c r="C59" s="4">
        <v>1.4766666666666666</v>
      </c>
      <c r="D59" s="4">
        <f>AVERAGE(B59:B61)</f>
        <v>1.4766666666666666</v>
      </c>
    </row>
    <row r="60" spans="1:4" x14ac:dyDescent="0.25">
      <c r="A60" s="1">
        <v>44469</v>
      </c>
      <c r="B60">
        <v>1.71</v>
      </c>
    </row>
    <row r="61" spans="1:4" x14ac:dyDescent="0.25">
      <c r="A61" s="1">
        <v>44439</v>
      </c>
      <c r="B61">
        <v>1.31</v>
      </c>
    </row>
    <row r="62" spans="1:4" x14ac:dyDescent="0.25">
      <c r="A62" s="1">
        <v>44408</v>
      </c>
      <c r="B62">
        <v>1.24</v>
      </c>
      <c r="C62" s="4">
        <v>1.3566666666666667</v>
      </c>
      <c r="D62" s="4">
        <f>AVERAGE(B62:B64)</f>
        <v>1.3566666666666667</v>
      </c>
    </row>
    <row r="63" spans="1:4" x14ac:dyDescent="0.25">
      <c r="A63" s="1">
        <v>44377</v>
      </c>
      <c r="B63">
        <v>1.29</v>
      </c>
    </row>
    <row r="64" spans="1:4" x14ac:dyDescent="0.25">
      <c r="A64" s="1">
        <v>44347</v>
      </c>
      <c r="B64">
        <v>1.54</v>
      </c>
    </row>
    <row r="65" spans="1:4" x14ac:dyDescent="0.25">
      <c r="A65" s="1">
        <v>44316</v>
      </c>
      <c r="B65">
        <v>1.37</v>
      </c>
      <c r="C65" s="4">
        <v>1.3499999999999999</v>
      </c>
      <c r="D65" s="4">
        <f>AVERAGE(B65:B67)</f>
        <v>1.3499999999999999</v>
      </c>
    </row>
    <row r="66" spans="1:4" x14ac:dyDescent="0.25">
      <c r="A66" s="1">
        <v>44286</v>
      </c>
      <c r="B66">
        <v>1.04</v>
      </c>
    </row>
    <row r="67" spans="1:4" x14ac:dyDescent="0.25">
      <c r="A67" s="1">
        <v>44255</v>
      </c>
      <c r="B67">
        <v>1.64</v>
      </c>
    </row>
    <row r="68" spans="1:4" x14ac:dyDescent="0.25">
      <c r="A68" s="1">
        <v>44227</v>
      </c>
      <c r="B68">
        <v>0.03</v>
      </c>
      <c r="C68" s="4">
        <v>0.49000000000000005</v>
      </c>
      <c r="D68" s="4">
        <f>AVERAGE(B68:B70)</f>
        <v>0.49000000000000005</v>
      </c>
    </row>
    <row r="69" spans="1:4" x14ac:dyDescent="0.25">
      <c r="A69" s="1">
        <v>44196</v>
      </c>
      <c r="B69">
        <v>0.67</v>
      </c>
    </row>
    <row r="70" spans="1:4" x14ac:dyDescent="0.25">
      <c r="A70" s="1">
        <v>44165</v>
      </c>
      <c r="B70">
        <v>0.77</v>
      </c>
    </row>
    <row r="71" spans="1:4" x14ac:dyDescent="0.25">
      <c r="A71" s="1">
        <v>44135</v>
      </c>
      <c r="B71">
        <v>0.51</v>
      </c>
      <c r="C71" s="4">
        <v>0.36000000000000004</v>
      </c>
      <c r="D71" s="4">
        <f>AVERAGE(B71:B73)</f>
        <v>0.36000000000000004</v>
      </c>
    </row>
    <row r="72" spans="1:4" x14ac:dyDescent="0.25">
      <c r="A72" s="1">
        <v>44104</v>
      </c>
      <c r="B72">
        <v>0.24</v>
      </c>
    </row>
    <row r="73" spans="1:4" x14ac:dyDescent="0.25">
      <c r="A73" s="1">
        <v>44074</v>
      </c>
      <c r="B73">
        <v>0.33</v>
      </c>
    </row>
    <row r="74" spans="1:4" x14ac:dyDescent="0.25">
      <c r="A74" s="1">
        <v>44043</v>
      </c>
      <c r="B74">
        <v>0.15</v>
      </c>
      <c r="C74" s="4">
        <v>0.11666666666666668</v>
      </c>
      <c r="D74" s="4">
        <f>AVERAGE(B74:B76)</f>
        <v>0.11666666666666668</v>
      </c>
    </row>
    <row r="75" spans="1:4" x14ac:dyDescent="0.25">
      <c r="A75" s="1">
        <v>44012</v>
      </c>
      <c r="B75">
        <v>0.14000000000000001</v>
      </c>
    </row>
    <row r="76" spans="1:4" x14ac:dyDescent="0.25">
      <c r="A76" s="1">
        <v>43982</v>
      </c>
      <c r="B76">
        <v>0.06</v>
      </c>
    </row>
    <row r="77" spans="1:4" x14ac:dyDescent="0.25">
      <c r="A77" s="1">
        <v>43951</v>
      </c>
      <c r="B77">
        <v>0.04</v>
      </c>
      <c r="C77" s="4">
        <v>3.3333333333333361E-3</v>
      </c>
      <c r="D77" s="4">
        <f>AVERAGE(B77:B79)</f>
        <v>3.3333333333333361E-3</v>
      </c>
    </row>
    <row r="78" spans="1:4" x14ac:dyDescent="0.25">
      <c r="A78" s="1">
        <v>43921</v>
      </c>
      <c r="B78">
        <v>0.33</v>
      </c>
    </row>
    <row r="79" spans="1:4" x14ac:dyDescent="0.25">
      <c r="A79" s="1">
        <v>43890</v>
      </c>
      <c r="B79">
        <v>-0.36</v>
      </c>
    </row>
    <row r="80" spans="1:4" x14ac:dyDescent="0.25">
      <c r="A80" s="1">
        <v>43861</v>
      </c>
      <c r="B80">
        <v>1.34</v>
      </c>
      <c r="C80" s="4">
        <v>0.81</v>
      </c>
      <c r="D80" s="4">
        <f>AVERAGE(B80:B82)</f>
        <v>0.81</v>
      </c>
    </row>
    <row r="81" spans="1:4" x14ac:dyDescent="0.25">
      <c r="A81" s="1">
        <v>43830</v>
      </c>
      <c r="B81">
        <v>0.56000000000000005</v>
      </c>
    </row>
    <row r="82" spans="1:4" x14ac:dyDescent="0.25">
      <c r="A82" s="1">
        <v>43799</v>
      </c>
      <c r="B82">
        <v>0.53</v>
      </c>
    </row>
    <row r="83" spans="1:4" x14ac:dyDescent="0.25">
      <c r="A83" s="1">
        <v>43769</v>
      </c>
      <c r="B83">
        <v>0.63</v>
      </c>
      <c r="C83" s="4">
        <v>0.50666666666666671</v>
      </c>
      <c r="D83" s="4">
        <f>AVERAGE(B83:B85)</f>
        <v>0.50666666666666671</v>
      </c>
    </row>
    <row r="84" spans="1:4" x14ac:dyDescent="0.25">
      <c r="A84" s="1">
        <v>43738</v>
      </c>
      <c r="B84">
        <v>0.5</v>
      </c>
    </row>
    <row r="85" spans="1:4" x14ac:dyDescent="0.25">
      <c r="A85" s="1">
        <v>43708</v>
      </c>
      <c r="B85">
        <v>0.39</v>
      </c>
    </row>
    <row r="86" spans="1:4" x14ac:dyDescent="0.25">
      <c r="A86" s="1">
        <v>43677</v>
      </c>
      <c r="B86">
        <v>0.33</v>
      </c>
      <c r="C86" s="4">
        <v>0.47000000000000003</v>
      </c>
      <c r="D86" s="4">
        <f>AVERAGE(B86:B88)</f>
        <v>0.47000000000000003</v>
      </c>
    </row>
    <row r="87" spans="1:4" x14ac:dyDescent="0.25">
      <c r="A87" s="1">
        <v>43646</v>
      </c>
      <c r="B87">
        <v>0.47</v>
      </c>
    </row>
    <row r="88" spans="1:4" x14ac:dyDescent="0.25">
      <c r="A88" s="1">
        <v>43616</v>
      </c>
      <c r="B88">
        <v>0.61</v>
      </c>
    </row>
    <row r="89" spans="1:4" x14ac:dyDescent="0.25">
      <c r="A89" s="1">
        <v>43585</v>
      </c>
      <c r="B89">
        <v>0.57999999999999996</v>
      </c>
      <c r="C89" s="4">
        <v>0.44</v>
      </c>
      <c r="D89" s="4">
        <f>AVERAGE(B89:B91)</f>
        <v>0.44</v>
      </c>
    </row>
    <row r="90" spans="1:4" x14ac:dyDescent="0.25">
      <c r="A90" s="1">
        <v>43555</v>
      </c>
      <c r="B90">
        <v>0.45</v>
      </c>
    </row>
    <row r="91" spans="1:4" x14ac:dyDescent="0.25">
      <c r="A91" s="1">
        <v>43524</v>
      </c>
      <c r="B91">
        <v>0.28999999999999998</v>
      </c>
    </row>
    <row r="92" spans="1:4" x14ac:dyDescent="0.25">
      <c r="A92" s="1">
        <v>43496</v>
      </c>
      <c r="B92">
        <v>0.51</v>
      </c>
      <c r="C92" s="4">
        <v>0.55666666666666664</v>
      </c>
      <c r="D92" s="4">
        <f>AVERAGE(B92:B94)</f>
        <v>0.55666666666666664</v>
      </c>
    </row>
    <row r="93" spans="1:4" x14ac:dyDescent="0.25">
      <c r="A93" s="1">
        <v>43465</v>
      </c>
      <c r="B93">
        <v>0.5</v>
      </c>
    </row>
    <row r="94" spans="1:4" x14ac:dyDescent="0.25">
      <c r="A94" s="1">
        <v>43434</v>
      </c>
      <c r="B94">
        <v>0.66</v>
      </c>
    </row>
    <row r="95" spans="1:4" x14ac:dyDescent="0.25">
      <c r="A95" s="1">
        <v>43404</v>
      </c>
      <c r="B95">
        <v>0.71</v>
      </c>
      <c r="C95" s="4">
        <v>1.0966666666666667</v>
      </c>
      <c r="D95" s="4">
        <f>AVERAGE(B95:B97)</f>
        <v>1.0966666666666667</v>
      </c>
    </row>
    <row r="96" spans="1:4" x14ac:dyDescent="0.25">
      <c r="A96" s="1">
        <v>43373</v>
      </c>
      <c r="B96">
        <v>1.21</v>
      </c>
    </row>
    <row r="97" spans="1:4" x14ac:dyDescent="0.25">
      <c r="A97" s="1">
        <v>43343</v>
      </c>
      <c r="B97">
        <v>1.37</v>
      </c>
      <c r="C97" s="4"/>
      <c r="D97" s="4"/>
    </row>
    <row r="98" spans="1:4" x14ac:dyDescent="0.25">
      <c r="A98" s="1">
        <v>43312</v>
      </c>
      <c r="B98">
        <v>1.51</v>
      </c>
      <c r="C98" s="4">
        <v>1.3333333333333333</v>
      </c>
      <c r="D98" s="4">
        <f>AVERAGE(B98:B100)</f>
        <v>1.3333333333333333</v>
      </c>
    </row>
    <row r="99" spans="1:4" x14ac:dyDescent="0.25">
      <c r="A99" s="1">
        <v>43281</v>
      </c>
      <c r="B99">
        <v>1.41</v>
      </c>
    </row>
    <row r="100" spans="1:4" x14ac:dyDescent="0.25">
      <c r="A100" s="1">
        <v>43251</v>
      </c>
      <c r="B100">
        <v>1.08</v>
      </c>
    </row>
    <row r="101" spans="1:4" x14ac:dyDescent="0.25">
      <c r="A101" s="1">
        <v>43220</v>
      </c>
      <c r="B101">
        <v>1.33</v>
      </c>
      <c r="C101" s="4">
        <v>1.7566666666666666</v>
      </c>
      <c r="D101" s="4">
        <f>AVERAGE(B101:B103)</f>
        <v>1.7566666666666666</v>
      </c>
    </row>
    <row r="102" spans="1:4" x14ac:dyDescent="0.25">
      <c r="A102" s="1">
        <v>43190</v>
      </c>
      <c r="B102">
        <v>1.55</v>
      </c>
    </row>
    <row r="103" spans="1:4" x14ac:dyDescent="0.25">
      <c r="A103" s="1">
        <v>43159</v>
      </c>
      <c r="B103">
        <v>2.39</v>
      </c>
    </row>
    <row r="104" spans="1:4" x14ac:dyDescent="0.25">
      <c r="A104" s="1">
        <v>43131</v>
      </c>
      <c r="B104">
        <v>0.82</v>
      </c>
      <c r="C104" s="4">
        <v>1.2266666666666666</v>
      </c>
      <c r="D104" s="4">
        <f>AVERAGE(B104:B106)</f>
        <v>1.2266666666666666</v>
      </c>
    </row>
    <row r="105" spans="1:4" x14ac:dyDescent="0.25">
      <c r="A105" s="1">
        <v>43100</v>
      </c>
      <c r="B105">
        <v>1.58</v>
      </c>
    </row>
    <row r="106" spans="1:4" x14ac:dyDescent="0.25">
      <c r="A106" s="1">
        <v>43069</v>
      </c>
      <c r="B106">
        <v>1.28</v>
      </c>
    </row>
    <row r="107" spans="1:4" x14ac:dyDescent="0.25">
      <c r="A107" s="1">
        <v>43039</v>
      </c>
      <c r="B107">
        <v>1.1200000000000001</v>
      </c>
      <c r="C107" s="4">
        <v>0.96</v>
      </c>
      <c r="D107" s="4">
        <f>AVERAGE(B107:B109)</f>
        <v>0.96</v>
      </c>
    </row>
    <row r="108" spans="1:4" x14ac:dyDescent="0.25">
      <c r="A108" s="1">
        <v>43008</v>
      </c>
      <c r="B108">
        <v>0.8</v>
      </c>
    </row>
    <row r="109" spans="1:4" x14ac:dyDescent="0.25">
      <c r="A109" s="1">
        <v>42978</v>
      </c>
      <c r="B109">
        <v>0.96</v>
      </c>
    </row>
    <row r="110" spans="1:4" x14ac:dyDescent="0.25">
      <c r="A110" s="1">
        <v>42947</v>
      </c>
      <c r="B110">
        <v>0.91</v>
      </c>
      <c r="C110" s="4">
        <v>0.9966666666666667</v>
      </c>
      <c r="D110" s="4">
        <f>AVERAGE(B110:B112)</f>
        <v>0.9966666666666667</v>
      </c>
    </row>
    <row r="111" spans="1:4" x14ac:dyDescent="0.25">
      <c r="A111" s="1">
        <v>42916</v>
      </c>
      <c r="B111">
        <v>0.97</v>
      </c>
    </row>
    <row r="112" spans="1:4" x14ac:dyDescent="0.25">
      <c r="A112" s="1">
        <v>42886</v>
      </c>
      <c r="B112">
        <v>1.1100000000000001</v>
      </c>
    </row>
    <row r="113" spans="1:4" x14ac:dyDescent="0.25">
      <c r="A113" s="1">
        <v>42855</v>
      </c>
      <c r="B113">
        <v>1</v>
      </c>
      <c r="C113" s="4">
        <v>0.70666666666666667</v>
      </c>
      <c r="D113" s="4">
        <f>AVERAGE(B113:B115)</f>
        <v>0.70666666666666667</v>
      </c>
    </row>
    <row r="114" spans="1:4" x14ac:dyDescent="0.25">
      <c r="A114" s="1">
        <v>42825</v>
      </c>
      <c r="B114">
        <v>0.96</v>
      </c>
    </row>
    <row r="115" spans="1:4" x14ac:dyDescent="0.25">
      <c r="A115" s="1">
        <v>42794</v>
      </c>
      <c r="B115">
        <v>0.16</v>
      </c>
    </row>
    <row r="116" spans="1:4" x14ac:dyDescent="0.25">
      <c r="A116" s="1">
        <v>42766</v>
      </c>
      <c r="B116">
        <v>1.64</v>
      </c>
      <c r="C116" s="4">
        <v>1.0933333333333335</v>
      </c>
      <c r="D116" s="4">
        <f>AVERAGE(B116:B118)</f>
        <v>1.0933333333333335</v>
      </c>
    </row>
    <row r="117" spans="1:4" x14ac:dyDescent="0.25">
      <c r="A117" s="1">
        <v>42735</v>
      </c>
      <c r="B117">
        <v>0.81</v>
      </c>
    </row>
    <row r="118" spans="1:4" x14ac:dyDescent="0.25">
      <c r="A118" s="1">
        <v>42704</v>
      </c>
      <c r="B118">
        <v>0.83</v>
      </c>
    </row>
    <row r="119" spans="1:4" x14ac:dyDescent="0.25">
      <c r="A119" s="1">
        <v>42674</v>
      </c>
      <c r="B119">
        <v>0.95</v>
      </c>
      <c r="C119" s="4">
        <v>0.8933333333333332</v>
      </c>
      <c r="D119" s="4">
        <f>AVERAGE(B119:B121)</f>
        <v>0.8933333333333332</v>
      </c>
    </row>
    <row r="120" spans="1:4" x14ac:dyDescent="0.25">
      <c r="A120" s="1">
        <v>42643</v>
      </c>
      <c r="B120">
        <v>0.96</v>
      </c>
    </row>
    <row r="121" spans="1:4" x14ac:dyDescent="0.25">
      <c r="A121" s="1">
        <v>42613</v>
      </c>
      <c r="B121">
        <v>0.77</v>
      </c>
    </row>
    <row r="122" spans="1:4" x14ac:dyDescent="0.25">
      <c r="A122" s="1">
        <v>42582</v>
      </c>
      <c r="B122">
        <v>0.8</v>
      </c>
      <c r="C122" s="4">
        <v>0.84</v>
      </c>
      <c r="D122" s="4">
        <f>AVERAGE(B122:B124)</f>
        <v>0.84</v>
      </c>
    </row>
    <row r="123" spans="1:4" x14ac:dyDescent="0.25">
      <c r="A123" s="1">
        <v>42551</v>
      </c>
      <c r="B123">
        <v>0.81</v>
      </c>
    </row>
    <row r="124" spans="1:4" x14ac:dyDescent="0.25">
      <c r="A124" s="1">
        <v>42521</v>
      </c>
      <c r="B124">
        <v>0.91</v>
      </c>
    </row>
    <row r="125" spans="1:4" x14ac:dyDescent="0.25">
      <c r="A125" s="1">
        <v>42490</v>
      </c>
      <c r="B125">
        <v>0.9</v>
      </c>
      <c r="C125" s="4">
        <v>0.83666666666666678</v>
      </c>
      <c r="D125" s="4">
        <f>AVERAGE(B125:B127)</f>
        <v>0.83666666666666678</v>
      </c>
    </row>
    <row r="126" spans="1:4" x14ac:dyDescent="0.25">
      <c r="A126" s="1">
        <v>42460</v>
      </c>
      <c r="B126">
        <v>0.78</v>
      </c>
    </row>
    <row r="127" spans="1:4" x14ac:dyDescent="0.25">
      <c r="A127" s="1">
        <v>42429</v>
      </c>
      <c r="B127">
        <v>0.83</v>
      </c>
    </row>
    <row r="128" spans="1:4" x14ac:dyDescent="0.25">
      <c r="A128" s="1">
        <v>42400</v>
      </c>
      <c r="B128">
        <v>0.66</v>
      </c>
      <c r="C128" s="4">
        <v>0.76666666666666661</v>
      </c>
      <c r="D128" s="4">
        <f>AVERAGE(B128:B130)</f>
        <v>0.76666666666666661</v>
      </c>
    </row>
    <row r="129" spans="1:4" x14ac:dyDescent="0.25">
      <c r="A129" s="1">
        <v>42369</v>
      </c>
      <c r="B129">
        <v>0.78</v>
      </c>
    </row>
    <row r="130" spans="1:4" x14ac:dyDescent="0.25">
      <c r="A130" s="1">
        <v>42338</v>
      </c>
      <c r="B130">
        <v>0.86</v>
      </c>
    </row>
    <row r="131" spans="1:4" x14ac:dyDescent="0.25">
      <c r="A131" s="1">
        <v>42308</v>
      </c>
      <c r="B131">
        <v>0.7</v>
      </c>
      <c r="C131" s="4">
        <v>0.6433333333333332</v>
      </c>
      <c r="D131" s="4">
        <f>AVERAGE(B131:B133)</f>
        <v>0.6433333333333332</v>
      </c>
    </row>
    <row r="132" spans="1:4" x14ac:dyDescent="0.25">
      <c r="A132" s="1">
        <v>42277</v>
      </c>
      <c r="B132">
        <v>0.6</v>
      </c>
    </row>
    <row r="133" spans="1:4" x14ac:dyDescent="0.25">
      <c r="A133" s="1">
        <v>42247</v>
      </c>
      <c r="B133">
        <v>0.63</v>
      </c>
    </row>
    <row r="134" spans="1:4" x14ac:dyDescent="0.25">
      <c r="A134" s="1">
        <v>42216</v>
      </c>
      <c r="B134">
        <v>0.68</v>
      </c>
      <c r="C134" s="4">
        <v>0.6166666666666667</v>
      </c>
      <c r="D134" s="4">
        <f>AVERAGE(B134:B136)</f>
        <v>0.6166666666666667</v>
      </c>
    </row>
    <row r="135" spans="1:4" x14ac:dyDescent="0.25">
      <c r="A135" s="1">
        <v>42185</v>
      </c>
      <c r="B135">
        <v>0.56999999999999995</v>
      </c>
    </row>
    <row r="136" spans="1:4" x14ac:dyDescent="0.25">
      <c r="A136" s="1">
        <v>42155</v>
      </c>
      <c r="B136">
        <v>0.6</v>
      </c>
    </row>
    <row r="137" spans="1:4" x14ac:dyDescent="0.25">
      <c r="A137" s="1">
        <v>42124</v>
      </c>
      <c r="B137">
        <v>0.67</v>
      </c>
      <c r="C137" s="4">
        <v>1.1399999999999999</v>
      </c>
      <c r="D137" s="4">
        <f>AVERAGE(B137:B139)</f>
        <v>1.1399999999999999</v>
      </c>
    </row>
    <row r="138" spans="1:4" x14ac:dyDescent="0.25">
      <c r="A138" s="1">
        <v>42094</v>
      </c>
      <c r="B138">
        <v>0.96</v>
      </c>
    </row>
    <row r="139" spans="1:4" x14ac:dyDescent="0.25">
      <c r="A139" s="1">
        <v>42063</v>
      </c>
      <c r="B139">
        <v>1.79</v>
      </c>
    </row>
    <row r="140" spans="1:4" x14ac:dyDescent="0.25">
      <c r="A140" s="1">
        <v>42035</v>
      </c>
      <c r="B140">
        <v>0.64</v>
      </c>
      <c r="C140" s="4">
        <v>1.1333333333333333</v>
      </c>
      <c r="D140" s="4">
        <f>AVERAGE(B140:B142)</f>
        <v>1.1333333333333333</v>
      </c>
    </row>
    <row r="141" spans="1:4" x14ac:dyDescent="0.25">
      <c r="A141" s="1">
        <v>42004</v>
      </c>
      <c r="B141">
        <v>1.36</v>
      </c>
    </row>
    <row r="142" spans="1:4" x14ac:dyDescent="0.25">
      <c r="A142" s="1">
        <v>41973</v>
      </c>
      <c r="B142">
        <v>1.4</v>
      </c>
    </row>
    <row r="143" spans="1:4" x14ac:dyDescent="0.25">
      <c r="A143" s="1">
        <v>41943</v>
      </c>
      <c r="B143">
        <v>1.6</v>
      </c>
      <c r="C143" s="4">
        <v>1.61</v>
      </c>
      <c r="D143" s="4">
        <f>AVERAGE(B143:B145)</f>
        <v>1.61</v>
      </c>
    </row>
    <row r="144" spans="1:4" x14ac:dyDescent="0.25">
      <c r="A144" s="1">
        <v>41912</v>
      </c>
      <c r="B144">
        <v>1.55</v>
      </c>
    </row>
    <row r="145" spans="1:4" x14ac:dyDescent="0.25">
      <c r="A145" s="1">
        <v>41882</v>
      </c>
      <c r="B145">
        <v>1.68</v>
      </c>
    </row>
    <row r="146" spans="1:4" x14ac:dyDescent="0.25">
      <c r="A146" s="1">
        <v>41851</v>
      </c>
      <c r="B146">
        <v>1.56</v>
      </c>
      <c r="C146" s="4">
        <v>1.4966666666666668</v>
      </c>
      <c r="D146" s="4">
        <f>AVERAGE(B146:B148)</f>
        <v>1.4966666666666668</v>
      </c>
    </row>
    <row r="147" spans="1:4" x14ac:dyDescent="0.25">
      <c r="A147" s="1">
        <v>41820</v>
      </c>
      <c r="B147">
        <v>1.47</v>
      </c>
    </row>
    <row r="148" spans="1:4" x14ac:dyDescent="0.25">
      <c r="A148" s="1">
        <v>41790</v>
      </c>
      <c r="B148">
        <v>1.46</v>
      </c>
    </row>
    <row r="149" spans="1:4" x14ac:dyDescent="0.25">
      <c r="A149" s="1">
        <v>41759</v>
      </c>
      <c r="B149">
        <v>1.24</v>
      </c>
      <c r="C149" s="4">
        <v>0.67</v>
      </c>
      <c r="D149" s="4">
        <f>AVERAGE(B149:B151)</f>
        <v>0.67</v>
      </c>
    </row>
    <row r="150" spans="1:4" x14ac:dyDescent="0.25">
      <c r="A150" s="1">
        <v>41729</v>
      </c>
      <c r="B150">
        <v>0.96</v>
      </c>
    </row>
    <row r="151" spans="1:4" x14ac:dyDescent="0.25">
      <c r="A151" s="1">
        <v>41698</v>
      </c>
      <c r="B151">
        <v>-0.19</v>
      </c>
    </row>
    <row r="152" spans="1:4" x14ac:dyDescent="0.25">
      <c r="A152" s="1">
        <v>41670</v>
      </c>
      <c r="B152">
        <v>1.03</v>
      </c>
      <c r="C152" s="4">
        <v>0.47666666666666663</v>
      </c>
      <c r="D152" s="4">
        <f>AVERAGE(B152:B154)</f>
        <v>0.47666666666666663</v>
      </c>
    </row>
    <row r="153" spans="1:4" x14ac:dyDescent="0.25">
      <c r="A153" s="1">
        <v>41639</v>
      </c>
      <c r="B153">
        <v>0.2</v>
      </c>
    </row>
    <row r="154" spans="1:4" x14ac:dyDescent="0.25">
      <c r="A154" s="1">
        <v>41608</v>
      </c>
      <c r="B154">
        <v>0.2</v>
      </c>
    </row>
    <row r="155" spans="1:4" x14ac:dyDescent="0.25">
      <c r="A155" s="1">
        <v>41578</v>
      </c>
      <c r="B155">
        <v>0.15</v>
      </c>
      <c r="C155" s="4">
        <v>0.43</v>
      </c>
      <c r="D155" s="4">
        <f>AVERAGE(B155:B157)</f>
        <v>0.43</v>
      </c>
    </row>
    <row r="156" spans="1:4" x14ac:dyDescent="0.25">
      <c r="A156" s="1">
        <v>41547</v>
      </c>
      <c r="B156">
        <v>0.64</v>
      </c>
    </row>
    <row r="157" spans="1:4" x14ac:dyDescent="0.25">
      <c r="A157" s="1">
        <v>41517</v>
      </c>
      <c r="B157">
        <v>0.5</v>
      </c>
    </row>
    <row r="158" spans="1:4" x14ac:dyDescent="0.25">
      <c r="A158" s="1">
        <v>41486</v>
      </c>
      <c r="B158">
        <v>0.52</v>
      </c>
      <c r="C158" s="4">
        <v>0.58333333333333337</v>
      </c>
      <c r="D158" s="4">
        <f>AVERAGE(B158:B160)</f>
        <v>0.58333333333333337</v>
      </c>
    </row>
    <row r="159" spans="1:4" x14ac:dyDescent="0.25">
      <c r="A159" s="1">
        <v>41455</v>
      </c>
      <c r="B159">
        <v>0.61</v>
      </c>
    </row>
    <row r="160" spans="1:4" x14ac:dyDescent="0.25">
      <c r="A160" s="1">
        <v>41425</v>
      </c>
      <c r="B160">
        <v>0.62</v>
      </c>
    </row>
    <row r="161" spans="1:4" x14ac:dyDescent="0.25">
      <c r="A161" s="1">
        <v>41394</v>
      </c>
      <c r="B161">
        <v>0.87</v>
      </c>
      <c r="C161" s="4">
        <v>1.4133333333333333</v>
      </c>
      <c r="D161" s="4">
        <f>AVERAGE(B161:B163)</f>
        <v>1.4133333333333333</v>
      </c>
    </row>
    <row r="162" spans="1:4" x14ac:dyDescent="0.25">
      <c r="A162" s="1">
        <v>41364</v>
      </c>
      <c r="B162">
        <v>1.19</v>
      </c>
    </row>
    <row r="163" spans="1:4" x14ac:dyDescent="0.25">
      <c r="A163" s="1">
        <v>41333</v>
      </c>
      <c r="B163">
        <v>2.1800000000000002</v>
      </c>
    </row>
    <row r="164" spans="1:4" x14ac:dyDescent="0.25">
      <c r="A164" s="1">
        <v>41305</v>
      </c>
      <c r="B164">
        <v>0.28999999999999998</v>
      </c>
      <c r="C164" s="4">
        <v>0.79666666666666675</v>
      </c>
      <c r="D164" s="4">
        <f>AVERAGE(B164:B166)</f>
        <v>0.79666666666666675</v>
      </c>
    </row>
    <row r="165" spans="1:4" x14ac:dyDescent="0.25">
      <c r="A165" s="1">
        <v>41274</v>
      </c>
      <c r="B165">
        <v>1.0900000000000001</v>
      </c>
    </row>
    <row r="166" spans="1:4" x14ac:dyDescent="0.25">
      <c r="A166" s="1">
        <v>41243</v>
      </c>
      <c r="B166">
        <v>1.01</v>
      </c>
    </row>
    <row r="167" spans="1:4" x14ac:dyDescent="0.25">
      <c r="A167" s="1">
        <v>41213</v>
      </c>
      <c r="B167">
        <v>1.0900000000000001</v>
      </c>
      <c r="C167" s="4">
        <v>1.0566666666666666</v>
      </c>
      <c r="D167" s="4">
        <f>AVERAGE(B167:B169)</f>
        <v>1.0566666666666666</v>
      </c>
    </row>
    <row r="168" spans="1:4" x14ac:dyDescent="0.25">
      <c r="A168" s="1">
        <v>41182</v>
      </c>
      <c r="B168">
        <v>1.03</v>
      </c>
    </row>
    <row r="169" spans="1:4" x14ac:dyDescent="0.25">
      <c r="A169" s="1">
        <v>41152</v>
      </c>
      <c r="B169">
        <v>1.05</v>
      </c>
    </row>
    <row r="170" spans="1:4" x14ac:dyDescent="0.25">
      <c r="A170" s="1">
        <v>41121</v>
      </c>
      <c r="B170">
        <v>1.04</v>
      </c>
      <c r="C170" s="4">
        <v>0.97666666666666657</v>
      </c>
      <c r="D170" s="4">
        <f>AVERAGE(B170:B172)</f>
        <v>0.97666666666666657</v>
      </c>
    </row>
    <row r="171" spans="1:4" x14ac:dyDescent="0.25">
      <c r="A171" s="1">
        <v>41090</v>
      </c>
      <c r="B171">
        <v>0.92</v>
      </c>
      <c r="C171" s="4"/>
      <c r="D171" s="4"/>
    </row>
    <row r="172" spans="1:4" x14ac:dyDescent="0.25">
      <c r="A172" s="1">
        <v>41060</v>
      </c>
      <c r="B172">
        <v>0.97</v>
      </c>
    </row>
    <row r="173" spans="1:4" x14ac:dyDescent="0.25">
      <c r="A173" s="1">
        <v>41029</v>
      </c>
      <c r="B173">
        <v>1.05</v>
      </c>
      <c r="C173" s="4">
        <v>0.6166666666666667</v>
      </c>
      <c r="D173" s="4">
        <f>AVERAGE(B173:B175)</f>
        <v>0.6166666666666667</v>
      </c>
    </row>
    <row r="174" spans="1:4" x14ac:dyDescent="0.25">
      <c r="A174" s="1">
        <v>40999</v>
      </c>
      <c r="B174">
        <v>0.84</v>
      </c>
    </row>
    <row r="175" spans="1:4" x14ac:dyDescent="0.25">
      <c r="A175" s="1">
        <v>40968</v>
      </c>
      <c r="B175">
        <v>-0.04</v>
      </c>
    </row>
    <row r="176" spans="1:4" x14ac:dyDescent="0.25">
      <c r="A176" s="1">
        <v>40939</v>
      </c>
      <c r="B176">
        <v>1.92</v>
      </c>
      <c r="C176" s="4">
        <v>1.5333333333333332</v>
      </c>
      <c r="D176" s="4">
        <f>AVERAGE(B176:B178)</f>
        <v>1.5333333333333332</v>
      </c>
    </row>
    <row r="177" spans="1:4" x14ac:dyDescent="0.25">
      <c r="A177" s="1">
        <v>40908</v>
      </c>
      <c r="B177">
        <v>1.31</v>
      </c>
    </row>
    <row r="178" spans="1:4" x14ac:dyDescent="0.25">
      <c r="A178" s="1">
        <v>40877</v>
      </c>
      <c r="B178">
        <v>1.37</v>
      </c>
    </row>
    <row r="179" spans="1:4" x14ac:dyDescent="0.25">
      <c r="A179" s="1">
        <v>40847</v>
      </c>
      <c r="B179">
        <v>1.62</v>
      </c>
      <c r="C179" s="4">
        <v>1.4100000000000001</v>
      </c>
      <c r="D179" s="4">
        <f>AVERAGE(B179:B181)</f>
        <v>1.4100000000000001</v>
      </c>
    </row>
    <row r="180" spans="1:4" x14ac:dyDescent="0.25">
      <c r="A180" s="1">
        <v>40816</v>
      </c>
      <c r="B180">
        <v>1.25</v>
      </c>
    </row>
    <row r="181" spans="1:4" x14ac:dyDescent="0.25">
      <c r="A181" s="1">
        <v>40786</v>
      </c>
      <c r="B181">
        <v>1.36</v>
      </c>
    </row>
    <row r="182" spans="1:4" x14ac:dyDescent="0.25">
      <c r="A182" s="1">
        <v>40755</v>
      </c>
      <c r="B182">
        <v>1.23</v>
      </c>
      <c r="C182" s="4">
        <v>1.3099999999999998</v>
      </c>
      <c r="D182" s="4">
        <f>AVERAGE(B182:B184)</f>
        <v>1.3099999999999998</v>
      </c>
    </row>
    <row r="183" spans="1:4" x14ac:dyDescent="0.25">
      <c r="A183" s="1">
        <v>40724</v>
      </c>
      <c r="B183">
        <v>1.36</v>
      </c>
    </row>
    <row r="184" spans="1:4" x14ac:dyDescent="0.25">
      <c r="A184" s="1">
        <v>40694</v>
      </c>
      <c r="B184">
        <v>1.34</v>
      </c>
    </row>
    <row r="185" spans="1:4" x14ac:dyDescent="0.25">
      <c r="A185" s="1">
        <v>40663</v>
      </c>
      <c r="B185">
        <v>1.1000000000000001</v>
      </c>
      <c r="C185" s="4">
        <v>1.0433333333333332</v>
      </c>
      <c r="D185" s="4">
        <f>AVERAGE(B185:B187)</f>
        <v>1.0433333333333332</v>
      </c>
    </row>
    <row r="186" spans="1:4" x14ac:dyDescent="0.25">
      <c r="A186" s="1">
        <v>40633</v>
      </c>
      <c r="B186">
        <v>1.1100000000000001</v>
      </c>
    </row>
    <row r="187" spans="1:4" x14ac:dyDescent="0.25">
      <c r="A187" s="1">
        <v>40602</v>
      </c>
      <c r="B187">
        <v>0.92</v>
      </c>
    </row>
    <row r="188" spans="1:4" x14ac:dyDescent="0.25">
      <c r="A188" s="1">
        <v>40574</v>
      </c>
      <c r="B188">
        <v>1.07</v>
      </c>
      <c r="C188" s="4">
        <v>1.0766666666666667</v>
      </c>
      <c r="D188" s="4">
        <f>AVERAGE(B188:B190)</f>
        <v>1.0766666666666667</v>
      </c>
    </row>
    <row r="189" spans="1:4" x14ac:dyDescent="0.25">
      <c r="A189" s="1">
        <v>40543</v>
      </c>
      <c r="B189">
        <v>1.1000000000000001</v>
      </c>
    </row>
    <row r="190" spans="1:4" x14ac:dyDescent="0.25">
      <c r="A190" s="1">
        <v>40512</v>
      </c>
      <c r="B190">
        <v>1.06</v>
      </c>
    </row>
    <row r="191" spans="1:4" x14ac:dyDescent="0.25">
      <c r="A191" s="1">
        <v>40482</v>
      </c>
      <c r="B191">
        <v>0.7</v>
      </c>
      <c r="C191" s="4">
        <v>0.68666666666666654</v>
      </c>
      <c r="D191" s="4">
        <f>AVERAGE(B191:B193)</f>
        <v>0.68666666666666654</v>
      </c>
    </row>
    <row r="192" spans="1:4" x14ac:dyDescent="0.25">
      <c r="A192" s="1">
        <v>40451</v>
      </c>
      <c r="B192">
        <v>0.85</v>
      </c>
    </row>
    <row r="193" spans="1:4" x14ac:dyDescent="0.25">
      <c r="A193" s="1">
        <v>40421</v>
      </c>
      <c r="B193">
        <v>0.51</v>
      </c>
    </row>
    <row r="194" spans="1:4" x14ac:dyDescent="0.25">
      <c r="A194" s="1">
        <v>40390</v>
      </c>
      <c r="B194">
        <v>0.87</v>
      </c>
      <c r="C194" s="4">
        <v>0.68666666666666665</v>
      </c>
      <c r="D194" s="4">
        <f>AVERAGE(B194:B196)</f>
        <v>0.68666666666666665</v>
      </c>
    </row>
    <row r="195" spans="1:4" x14ac:dyDescent="0.25">
      <c r="A195" s="1">
        <v>40359</v>
      </c>
      <c r="B195">
        <v>0.81</v>
      </c>
    </row>
    <row r="196" spans="1:4" x14ac:dyDescent="0.25">
      <c r="A196" s="1">
        <v>40329</v>
      </c>
      <c r="B196">
        <v>0.38</v>
      </c>
    </row>
    <row r="197" spans="1:4" x14ac:dyDescent="0.25">
      <c r="A197" s="1">
        <v>40298</v>
      </c>
      <c r="B197">
        <v>0.39</v>
      </c>
      <c r="C197" s="4">
        <v>0.6166666666666667</v>
      </c>
      <c r="D197" s="4">
        <f>AVERAGE(B197:B199)</f>
        <v>0.6166666666666667</v>
      </c>
    </row>
    <row r="198" spans="1:4" x14ac:dyDescent="0.25">
      <c r="A198" s="1">
        <v>40268</v>
      </c>
      <c r="B198">
        <v>0.23</v>
      </c>
    </row>
    <row r="199" spans="1:4" x14ac:dyDescent="0.25">
      <c r="A199" s="1">
        <v>40237</v>
      </c>
      <c r="B199">
        <v>1.23</v>
      </c>
    </row>
    <row r="200" spans="1:4" x14ac:dyDescent="0.25">
      <c r="A200" s="1">
        <v>40209</v>
      </c>
      <c r="B200">
        <v>-1.08</v>
      </c>
      <c r="C200" s="4">
        <v>-0.8566666666666668</v>
      </c>
      <c r="D200" s="4">
        <f>AVERAGE(B200:B202)</f>
        <v>-0.8566666666666668</v>
      </c>
    </row>
    <row r="201" spans="1:4" x14ac:dyDescent="0.25">
      <c r="A201" s="1">
        <v>40178</v>
      </c>
      <c r="B201">
        <v>-0.69</v>
      </c>
    </row>
    <row r="202" spans="1:4" x14ac:dyDescent="0.25">
      <c r="A202" s="1">
        <v>40147</v>
      </c>
      <c r="B202">
        <v>-0.8</v>
      </c>
    </row>
    <row r="203" spans="1:4" x14ac:dyDescent="0.25">
      <c r="A203" s="1">
        <v>40117</v>
      </c>
      <c r="B203">
        <v>-0.83</v>
      </c>
      <c r="C203" s="4">
        <v>-0.82666666666666666</v>
      </c>
      <c r="D203" s="4">
        <f>AVERAGE(B203:B205)</f>
        <v>-0.82666666666666666</v>
      </c>
    </row>
    <row r="204" spans="1:4" x14ac:dyDescent="0.25">
      <c r="A204" s="1">
        <v>40086</v>
      </c>
      <c r="B204">
        <v>-0.91</v>
      </c>
    </row>
    <row r="205" spans="1:4" x14ac:dyDescent="0.25">
      <c r="A205" s="1">
        <v>40056</v>
      </c>
      <c r="B205">
        <v>-0.74</v>
      </c>
    </row>
    <row r="206" spans="1:4" x14ac:dyDescent="0.25">
      <c r="A206" s="1">
        <v>40025</v>
      </c>
      <c r="B206">
        <v>-0.86</v>
      </c>
      <c r="C206" s="4">
        <v>-0.39666666666666672</v>
      </c>
      <c r="D206" s="4">
        <f>AVERAGE(B206:B208)</f>
        <v>-0.39666666666666672</v>
      </c>
    </row>
    <row r="207" spans="1:4" x14ac:dyDescent="0.25">
      <c r="A207" s="1">
        <v>39994</v>
      </c>
      <c r="B207">
        <v>-0.53</v>
      </c>
    </row>
    <row r="208" spans="1:4" x14ac:dyDescent="0.25">
      <c r="A208" s="1">
        <v>39964</v>
      </c>
      <c r="B208">
        <v>0.2</v>
      </c>
    </row>
    <row r="209" spans="1:4" x14ac:dyDescent="0.25">
      <c r="A209" s="1">
        <v>39933</v>
      </c>
      <c r="B209">
        <v>0.5</v>
      </c>
      <c r="C209" s="4">
        <v>0.65333333333333332</v>
      </c>
      <c r="D209" s="4">
        <f>AVERAGE(B209:B211)</f>
        <v>0.65333333333333332</v>
      </c>
    </row>
    <row r="210" spans="1:4" x14ac:dyDescent="0.25">
      <c r="A210" s="1">
        <v>39903</v>
      </c>
      <c r="B210">
        <v>0.92</v>
      </c>
    </row>
    <row r="211" spans="1:4" x14ac:dyDescent="0.25">
      <c r="A211" s="1">
        <v>39872</v>
      </c>
      <c r="B211">
        <v>0.54</v>
      </c>
    </row>
    <row r="212" spans="1:4" x14ac:dyDescent="0.25">
      <c r="A212" s="1">
        <v>39844</v>
      </c>
      <c r="B212">
        <v>2.73</v>
      </c>
      <c r="C212" s="4">
        <v>2.5733333333333333</v>
      </c>
      <c r="D212" s="4">
        <f>AVERAGE(B212:B214)</f>
        <v>2.5733333333333333</v>
      </c>
    </row>
    <row r="213" spans="1:4" x14ac:dyDescent="0.25">
      <c r="A213" s="1">
        <v>39813</v>
      </c>
      <c r="B213">
        <v>2.3199999999999998</v>
      </c>
    </row>
    <row r="214" spans="1:4" x14ac:dyDescent="0.25">
      <c r="A214" s="1">
        <v>39782</v>
      </c>
      <c r="B214">
        <v>2.67</v>
      </c>
    </row>
    <row r="215" spans="1:4" x14ac:dyDescent="0.25">
      <c r="A215" s="1">
        <v>39752</v>
      </c>
      <c r="B215">
        <v>3.16</v>
      </c>
      <c r="C215" s="4">
        <v>3.56</v>
      </c>
      <c r="D215" s="4">
        <f>AVERAGE(B215:B217)</f>
        <v>3.56</v>
      </c>
    </row>
    <row r="216" spans="1:4" x14ac:dyDescent="0.25">
      <c r="A216" s="1">
        <v>39721</v>
      </c>
      <c r="B216">
        <v>3.53</v>
      </c>
    </row>
    <row r="217" spans="1:4" x14ac:dyDescent="0.25">
      <c r="A217" s="1">
        <v>39691</v>
      </c>
      <c r="B217">
        <v>3.99</v>
      </c>
    </row>
    <row r="218" spans="1:4" x14ac:dyDescent="0.25">
      <c r="A218" s="1">
        <v>39660</v>
      </c>
      <c r="B218">
        <v>4.29</v>
      </c>
      <c r="C218" s="4">
        <v>3.8666666666666667</v>
      </c>
      <c r="D218" s="4">
        <f>AVERAGE(B218:B220)</f>
        <v>3.8666666666666667</v>
      </c>
    </row>
    <row r="219" spans="1:4" x14ac:dyDescent="0.25">
      <c r="A219" s="1">
        <v>39629</v>
      </c>
      <c r="B219">
        <v>3.91</v>
      </c>
    </row>
    <row r="220" spans="1:4" x14ac:dyDescent="0.25">
      <c r="A220" s="1">
        <v>39599</v>
      </c>
      <c r="B220">
        <v>3.4</v>
      </c>
    </row>
    <row r="221" spans="1:4" x14ac:dyDescent="0.25">
      <c r="A221" s="1">
        <v>39568</v>
      </c>
      <c r="B221">
        <v>3.28</v>
      </c>
      <c r="C221" s="4">
        <v>3.0533333333333332</v>
      </c>
      <c r="D221" s="4">
        <f>AVERAGE(B221:B223)</f>
        <v>3.0533333333333332</v>
      </c>
    </row>
    <row r="222" spans="1:4" x14ac:dyDescent="0.25">
      <c r="A222" s="1">
        <v>39538</v>
      </c>
      <c r="B222">
        <v>3.18</v>
      </c>
    </row>
    <row r="223" spans="1:4" x14ac:dyDescent="0.25">
      <c r="A223" s="1">
        <v>39507</v>
      </c>
      <c r="B223">
        <v>2.7</v>
      </c>
    </row>
    <row r="224" spans="1:4" x14ac:dyDescent="0.25">
      <c r="A224" s="1">
        <v>39478</v>
      </c>
      <c r="B224">
        <v>2.73</v>
      </c>
      <c r="C224" s="4">
        <v>2.6033333333333331</v>
      </c>
      <c r="D224" s="4">
        <f>AVERAGE(B224:B226)</f>
        <v>2.6033333333333331</v>
      </c>
    </row>
    <row r="225" spans="1:4" x14ac:dyDescent="0.25">
      <c r="A225" s="1">
        <v>39447</v>
      </c>
      <c r="B225">
        <v>2.62</v>
      </c>
    </row>
    <row r="226" spans="1:4" x14ac:dyDescent="0.25">
      <c r="A226" s="1">
        <v>39416</v>
      </c>
      <c r="B226">
        <v>2.46</v>
      </c>
    </row>
    <row r="227" spans="1:4" x14ac:dyDescent="0.25">
      <c r="A227" s="1">
        <v>39386</v>
      </c>
      <c r="B227">
        <v>2.35</v>
      </c>
      <c r="C227" s="4">
        <v>2.0500000000000003</v>
      </c>
      <c r="D227" s="4">
        <f>AVERAGE(B227:B229)</f>
        <v>2.0500000000000003</v>
      </c>
    </row>
    <row r="228" spans="1:4" x14ac:dyDescent="0.25">
      <c r="A228" s="1">
        <v>39355</v>
      </c>
      <c r="B228">
        <v>2.0699999999999998</v>
      </c>
    </row>
    <row r="229" spans="1:4" x14ac:dyDescent="0.25">
      <c r="A229" s="1">
        <v>39325</v>
      </c>
      <c r="B229">
        <v>1.73</v>
      </c>
    </row>
    <row r="230" spans="1:4" x14ac:dyDescent="0.25">
      <c r="A230" s="1">
        <v>39294</v>
      </c>
      <c r="B230">
        <v>1.23</v>
      </c>
      <c r="C230" s="4">
        <v>1</v>
      </c>
      <c r="D230" s="4">
        <f>AVERAGE(B230:B232)</f>
        <v>1</v>
      </c>
    </row>
    <row r="231" spans="1:4" x14ac:dyDescent="0.25">
      <c r="A231" s="1">
        <v>39263</v>
      </c>
      <c r="B231">
        <v>1.04</v>
      </c>
    </row>
    <row r="232" spans="1:4" x14ac:dyDescent="0.25">
      <c r="A232" s="1">
        <v>39233</v>
      </c>
      <c r="B232">
        <v>0.73</v>
      </c>
    </row>
    <row r="233" spans="1:4" x14ac:dyDescent="0.25">
      <c r="A233" s="1">
        <v>39202</v>
      </c>
      <c r="B233">
        <v>0.74</v>
      </c>
      <c r="C233" s="4">
        <v>1.0866666666666667</v>
      </c>
      <c r="D233" s="4">
        <f>AVERAGE(B233:B235)</f>
        <v>1.0866666666666667</v>
      </c>
    </row>
    <row r="234" spans="1:4" x14ac:dyDescent="0.25">
      <c r="A234" s="1">
        <v>39172</v>
      </c>
      <c r="B234">
        <v>0.7</v>
      </c>
    </row>
    <row r="235" spans="1:4" x14ac:dyDescent="0.25">
      <c r="A235" s="1">
        <v>39141</v>
      </c>
      <c r="B235">
        <v>1.82</v>
      </c>
    </row>
    <row r="236" spans="1:4" x14ac:dyDescent="0.25">
      <c r="A236" s="1">
        <v>39113</v>
      </c>
      <c r="B236">
        <v>0</v>
      </c>
      <c r="C236" s="4">
        <v>0.46333333333333337</v>
      </c>
      <c r="D236" s="4">
        <f>AVERAGE(B236:B238)</f>
        <v>0.46333333333333337</v>
      </c>
    </row>
    <row r="237" spans="1:4" x14ac:dyDescent="0.25">
      <c r="A237" s="1">
        <v>39082</v>
      </c>
      <c r="B237">
        <v>0.75</v>
      </c>
    </row>
    <row r="238" spans="1:4" x14ac:dyDescent="0.25">
      <c r="A238" s="1">
        <v>39051</v>
      </c>
      <c r="B238">
        <v>0.64</v>
      </c>
    </row>
    <row r="239" spans="1:4" x14ac:dyDescent="0.25">
      <c r="A239" s="1">
        <v>39021</v>
      </c>
      <c r="B239">
        <v>0.43</v>
      </c>
      <c r="C239" s="4">
        <v>0.38000000000000006</v>
      </c>
      <c r="D239" s="4">
        <f>AVERAGE(B239:B241)</f>
        <v>0.38000000000000006</v>
      </c>
    </row>
    <row r="240" spans="1:4" x14ac:dyDescent="0.25">
      <c r="A240" s="1">
        <v>38990</v>
      </c>
      <c r="B240">
        <v>0.35</v>
      </c>
    </row>
    <row r="241" spans="1:4" x14ac:dyDescent="0.25">
      <c r="A241" s="1">
        <v>38960</v>
      </c>
      <c r="B241">
        <v>0.36</v>
      </c>
    </row>
    <row r="242" spans="1:4" x14ac:dyDescent="0.25">
      <c r="A242" s="1">
        <v>38929</v>
      </c>
      <c r="B242">
        <v>0.57999999999999996</v>
      </c>
      <c r="C242" s="4">
        <v>0.55333333333333334</v>
      </c>
      <c r="D242" s="4">
        <f>AVERAGE(B242:B244)</f>
        <v>0.55333333333333334</v>
      </c>
    </row>
    <row r="243" spans="1:4" x14ac:dyDescent="0.25">
      <c r="A243" s="1">
        <v>38898</v>
      </c>
      <c r="B243">
        <v>0.41</v>
      </c>
    </row>
    <row r="244" spans="1:4" x14ac:dyDescent="0.25">
      <c r="A244" s="1">
        <v>38868</v>
      </c>
      <c r="B244">
        <v>0.67</v>
      </c>
    </row>
    <row r="245" spans="1:4" x14ac:dyDescent="0.25">
      <c r="A245" s="1">
        <v>38837</v>
      </c>
      <c r="B245">
        <v>0.53</v>
      </c>
      <c r="C245" s="4">
        <v>0.24666666666666667</v>
      </c>
      <c r="D245" s="4">
        <f>AVERAGE(B245:B247)</f>
        <v>0.24666666666666667</v>
      </c>
    </row>
    <row r="246" spans="1:4" x14ac:dyDescent="0.25">
      <c r="A246" s="1">
        <v>38807</v>
      </c>
      <c r="B246">
        <v>0.54</v>
      </c>
    </row>
    <row r="247" spans="1:4" x14ac:dyDescent="0.25">
      <c r="A247" s="1">
        <v>38776</v>
      </c>
      <c r="B247">
        <v>-0.33</v>
      </c>
    </row>
    <row r="248" spans="1:4" x14ac:dyDescent="0.25">
      <c r="A248" s="1">
        <v>38748</v>
      </c>
      <c r="B248">
        <v>1.38</v>
      </c>
      <c r="C248" s="4">
        <v>0.82666666666666666</v>
      </c>
      <c r="D248" s="4">
        <f>AVERAGE(B248:B250)</f>
        <v>0.82666666666666666</v>
      </c>
    </row>
    <row r="249" spans="1:4" x14ac:dyDescent="0.25">
      <c r="A249" s="1">
        <v>38717</v>
      </c>
      <c r="B249">
        <v>0.45</v>
      </c>
    </row>
    <row r="250" spans="1:4" x14ac:dyDescent="0.25">
      <c r="A250" s="1">
        <v>38686</v>
      </c>
      <c r="B250">
        <v>0.65</v>
      </c>
    </row>
    <row r="251" spans="1:4" x14ac:dyDescent="0.25">
      <c r="A251" s="1">
        <v>38656</v>
      </c>
      <c r="B251">
        <v>0.59</v>
      </c>
      <c r="C251" s="4">
        <v>0.69333333333333336</v>
      </c>
      <c r="D251" s="4">
        <f>AVERAGE(B251:B253)</f>
        <v>0.69333333333333336</v>
      </c>
    </row>
    <row r="252" spans="1:4" x14ac:dyDescent="0.25">
      <c r="A252" s="1">
        <v>38625</v>
      </c>
      <c r="B252">
        <v>0.7</v>
      </c>
    </row>
    <row r="253" spans="1:4" x14ac:dyDescent="0.25">
      <c r="A253" s="1">
        <v>38595</v>
      </c>
      <c r="B253">
        <v>0.79</v>
      </c>
    </row>
    <row r="254" spans="1:4" x14ac:dyDescent="0.25">
      <c r="A254" s="1">
        <v>38564</v>
      </c>
      <c r="B254">
        <v>0.6</v>
      </c>
      <c r="C254" s="4">
        <v>0.6166666666666667</v>
      </c>
      <c r="D254" s="4">
        <f>AVERAGE(B254:B256)</f>
        <v>0.6166666666666667</v>
      </c>
    </row>
    <row r="255" spans="1:4" x14ac:dyDescent="0.25">
      <c r="A255" s="1">
        <v>38533</v>
      </c>
      <c r="B255">
        <v>0.59</v>
      </c>
    </row>
    <row r="256" spans="1:4" x14ac:dyDescent="0.25">
      <c r="A256" s="1">
        <v>38503</v>
      </c>
      <c r="B256">
        <v>0.66</v>
      </c>
      <c r="C256" s="4"/>
      <c r="D256" s="4"/>
    </row>
    <row r="257" spans="1:4" x14ac:dyDescent="0.25">
      <c r="A257" s="1">
        <v>38472</v>
      </c>
      <c r="B257">
        <v>0.82</v>
      </c>
      <c r="C257" s="4">
        <v>1.3433333333333335</v>
      </c>
      <c r="D257" s="4">
        <f>AVERAGE(B257:B259)</f>
        <v>1.3433333333333335</v>
      </c>
    </row>
    <row r="258" spans="1:4" x14ac:dyDescent="0.25">
      <c r="A258" s="1">
        <v>38442</v>
      </c>
      <c r="B258">
        <v>1.22</v>
      </c>
    </row>
    <row r="259" spans="1:4" x14ac:dyDescent="0.25">
      <c r="A259" s="1">
        <v>38411</v>
      </c>
      <c r="B259">
        <v>1.99</v>
      </c>
    </row>
    <row r="260" spans="1:4" x14ac:dyDescent="0.25">
      <c r="A260" s="1">
        <v>38383</v>
      </c>
      <c r="B260">
        <v>-0.19</v>
      </c>
      <c r="C260" s="4">
        <v>0.59333333333333338</v>
      </c>
      <c r="D260" s="4">
        <f>AVERAGE(B260:B262)</f>
        <v>0.59333333333333338</v>
      </c>
    </row>
    <row r="261" spans="1:4" x14ac:dyDescent="0.25">
      <c r="A261" s="1">
        <v>38352</v>
      </c>
      <c r="B261">
        <v>1.0900000000000001</v>
      </c>
    </row>
    <row r="262" spans="1:4" x14ac:dyDescent="0.25">
      <c r="A262" s="1">
        <v>38321</v>
      </c>
      <c r="B262">
        <v>0.88</v>
      </c>
    </row>
    <row r="263" spans="1:4" x14ac:dyDescent="0.25">
      <c r="A263" s="1">
        <v>38291</v>
      </c>
      <c r="B263">
        <v>1.05</v>
      </c>
      <c r="C263" s="4">
        <v>1.07</v>
      </c>
      <c r="D263" s="4">
        <f>AVERAGE(B263:B265)</f>
        <v>1.07</v>
      </c>
    </row>
    <row r="264" spans="1:4" x14ac:dyDescent="0.25">
      <c r="A264" s="1">
        <v>38260</v>
      </c>
      <c r="B264">
        <v>1.06</v>
      </c>
    </row>
    <row r="265" spans="1:4" x14ac:dyDescent="0.25">
      <c r="A265" s="1">
        <v>38230</v>
      </c>
      <c r="B265">
        <v>1.1000000000000001</v>
      </c>
    </row>
    <row r="266" spans="1:4" x14ac:dyDescent="0.25">
      <c r="A266" s="1">
        <v>38199</v>
      </c>
      <c r="B266">
        <v>1.34</v>
      </c>
      <c r="C266" s="4">
        <v>1.0966666666666667</v>
      </c>
      <c r="D266" s="4">
        <f>AVERAGE(B266:B268)</f>
        <v>1.0966666666666667</v>
      </c>
    </row>
    <row r="267" spans="1:4" x14ac:dyDescent="0.25">
      <c r="A267" s="1">
        <v>38168</v>
      </c>
      <c r="B267">
        <v>1.26</v>
      </c>
    </row>
    <row r="268" spans="1:4" x14ac:dyDescent="0.25">
      <c r="A268" s="1">
        <v>38138</v>
      </c>
      <c r="B268">
        <v>0.69</v>
      </c>
    </row>
    <row r="269" spans="1:4" x14ac:dyDescent="0.25">
      <c r="A269" s="1">
        <v>38107</v>
      </c>
      <c r="B269">
        <v>0.25</v>
      </c>
      <c r="C269" s="4">
        <v>0.11333333333333334</v>
      </c>
      <c r="D269" s="4">
        <f>AVERAGE(B269:B271)</f>
        <v>0.11333333333333334</v>
      </c>
    </row>
    <row r="270" spans="1:4" x14ac:dyDescent="0.25">
      <c r="A270" s="1">
        <v>38077</v>
      </c>
      <c r="B270">
        <v>0.08</v>
      </c>
    </row>
    <row r="271" spans="1:4" x14ac:dyDescent="0.25">
      <c r="A271" s="1">
        <v>38046</v>
      </c>
      <c r="B271">
        <v>0.01</v>
      </c>
    </row>
    <row r="272" spans="1:4" x14ac:dyDescent="0.25">
      <c r="A272" s="1">
        <v>38017</v>
      </c>
      <c r="B272">
        <v>0.4</v>
      </c>
      <c r="C272" s="4">
        <v>-0.15333333333333335</v>
      </c>
      <c r="D272" s="4">
        <f>AVERAGE(B272:B274)</f>
        <v>-0.15333333333333335</v>
      </c>
    </row>
    <row r="273" spans="1:4" x14ac:dyDescent="0.25">
      <c r="A273" s="1">
        <v>37986</v>
      </c>
      <c r="B273">
        <v>-0.32</v>
      </c>
    </row>
    <row r="274" spans="1:4" x14ac:dyDescent="0.25">
      <c r="A274" s="1">
        <v>37955</v>
      </c>
      <c r="B274">
        <v>-0.54</v>
      </c>
    </row>
    <row r="275" spans="1:4" x14ac:dyDescent="0.25">
      <c r="A275" s="1">
        <v>37925</v>
      </c>
      <c r="B275">
        <v>-0.68</v>
      </c>
      <c r="C275" s="4">
        <v>-0.59666666666666668</v>
      </c>
      <c r="D275" s="4">
        <f>AVERAGE(B275:B277)</f>
        <v>-0.59666666666666668</v>
      </c>
    </row>
    <row r="276" spans="1:4" x14ac:dyDescent="0.25">
      <c r="A276" s="1">
        <v>37894</v>
      </c>
      <c r="B276">
        <v>-0.63</v>
      </c>
    </row>
    <row r="277" spans="1:4" x14ac:dyDescent="0.25">
      <c r="A277" s="1">
        <v>37864</v>
      </c>
      <c r="B277">
        <v>-0.48</v>
      </c>
    </row>
    <row r="278" spans="1:4" x14ac:dyDescent="0.25">
      <c r="A278" s="1">
        <v>37833</v>
      </c>
      <c r="B278">
        <v>-0.8</v>
      </c>
      <c r="C278" s="4">
        <v>-0.69666666666666666</v>
      </c>
      <c r="D278" s="4">
        <f>AVERAGE(B278:B280)</f>
        <v>-0.69666666666666666</v>
      </c>
    </row>
    <row r="279" spans="1:4" x14ac:dyDescent="0.25">
      <c r="A279" s="1">
        <v>37802</v>
      </c>
      <c r="B279">
        <v>-0.91</v>
      </c>
    </row>
    <row r="280" spans="1:4" x14ac:dyDescent="0.25">
      <c r="A280" s="1">
        <v>37772</v>
      </c>
      <c r="B280">
        <v>-0.38</v>
      </c>
    </row>
    <row r="281" spans="1:4" x14ac:dyDescent="0.25">
      <c r="A281" s="1">
        <v>37741</v>
      </c>
      <c r="B281">
        <v>-0.18</v>
      </c>
      <c r="C281" s="4">
        <v>-0.73333333333333339</v>
      </c>
      <c r="D281" s="4">
        <f>AVERAGE(B281:B283)</f>
        <v>-0.73333333333333339</v>
      </c>
    </row>
    <row r="282" spans="1:4" x14ac:dyDescent="0.25">
      <c r="A282" s="1">
        <v>37711</v>
      </c>
      <c r="B282">
        <v>-0.2</v>
      </c>
    </row>
    <row r="283" spans="1:4" x14ac:dyDescent="0.25">
      <c r="A283" s="1">
        <v>37680</v>
      </c>
      <c r="B283">
        <v>-1.82</v>
      </c>
    </row>
    <row r="284" spans="1:4" x14ac:dyDescent="0.25">
      <c r="A284" s="1">
        <v>37652</v>
      </c>
      <c r="B284">
        <v>0.34</v>
      </c>
      <c r="C284" s="4">
        <v>0.60666666666666669</v>
      </c>
      <c r="D284" s="4">
        <f>AVERAGE(B284:B286)</f>
        <v>0.60666666666666669</v>
      </c>
    </row>
    <row r="285" spans="1:4" x14ac:dyDescent="0.25">
      <c r="A285" s="1">
        <v>37621</v>
      </c>
      <c r="B285">
        <v>0.74</v>
      </c>
    </row>
    <row r="286" spans="1:4" x14ac:dyDescent="0.25">
      <c r="A286" s="1">
        <v>37590</v>
      </c>
      <c r="B286">
        <v>0.74</v>
      </c>
    </row>
    <row r="287" spans="1:4" x14ac:dyDescent="0.25">
      <c r="A287" s="1">
        <v>37560</v>
      </c>
      <c r="B287">
        <v>0.77</v>
      </c>
      <c r="C287" s="4">
        <v>0.78666666666666663</v>
      </c>
      <c r="D287" s="4">
        <f>AVERAGE(B287:B289)</f>
        <v>0.78666666666666663</v>
      </c>
    </row>
    <row r="288" spans="1:4" x14ac:dyDescent="0.25">
      <c r="A288" s="1">
        <v>37529</v>
      </c>
      <c r="B288">
        <v>1.01</v>
      </c>
    </row>
    <row r="289" spans="1:4" x14ac:dyDescent="0.25">
      <c r="A289" s="1">
        <v>37499</v>
      </c>
      <c r="B289">
        <v>0.57999999999999996</v>
      </c>
    </row>
    <row r="290" spans="1:4" x14ac:dyDescent="0.25">
      <c r="A290" s="1">
        <v>37468</v>
      </c>
      <c r="B290">
        <v>0.72</v>
      </c>
      <c r="C290" s="4">
        <v>0.70000000000000007</v>
      </c>
      <c r="D290" s="4">
        <f>AVERAGE(B290:B292)</f>
        <v>0.70000000000000007</v>
      </c>
    </row>
    <row r="291" spans="1:4" x14ac:dyDescent="0.25">
      <c r="A291" s="1">
        <v>37437</v>
      </c>
      <c r="B291">
        <v>0.86</v>
      </c>
    </row>
    <row r="292" spans="1:4" x14ac:dyDescent="0.25">
      <c r="A292" s="1">
        <v>37407</v>
      </c>
      <c r="B292">
        <v>0.52</v>
      </c>
    </row>
    <row r="293" spans="1:4" x14ac:dyDescent="0.25">
      <c r="A293" s="1">
        <v>37376</v>
      </c>
      <c r="B293">
        <v>0.59</v>
      </c>
      <c r="C293" s="4">
        <v>0.98666666666666669</v>
      </c>
      <c r="D293" s="4">
        <f>AVERAGE(B293:B295)</f>
        <v>0.98666666666666669</v>
      </c>
    </row>
    <row r="294" spans="1:4" x14ac:dyDescent="0.25">
      <c r="A294" s="1">
        <v>37346</v>
      </c>
      <c r="B294">
        <v>0.28999999999999998</v>
      </c>
    </row>
    <row r="295" spans="1:4" x14ac:dyDescent="0.25">
      <c r="A295" s="1">
        <v>37315</v>
      </c>
      <c r="B295">
        <v>2.08</v>
      </c>
    </row>
    <row r="296" spans="1:4" x14ac:dyDescent="0.25">
      <c r="A296" s="1">
        <v>37287</v>
      </c>
      <c r="B296">
        <v>-0.97</v>
      </c>
      <c r="C296" s="4">
        <v>-0.74666666666666659</v>
      </c>
      <c r="D296" s="4">
        <f>AVERAGE(B296:B298)</f>
        <v>-0.74666666666666659</v>
      </c>
    </row>
    <row r="297" spans="1:4" x14ac:dyDescent="0.25">
      <c r="A297" s="1">
        <v>37256</v>
      </c>
      <c r="B297">
        <v>-0.66</v>
      </c>
    </row>
    <row r="298" spans="1:4" x14ac:dyDescent="0.25">
      <c r="A298" s="1">
        <v>37225</v>
      </c>
      <c r="B298">
        <v>-0.61</v>
      </c>
    </row>
    <row r="299" spans="1:4" x14ac:dyDescent="0.25">
      <c r="A299" s="1">
        <v>37195</v>
      </c>
      <c r="B299">
        <v>-0.54</v>
      </c>
      <c r="C299" s="4">
        <v>-0.47000000000000003</v>
      </c>
      <c r="D299" s="4">
        <f>AVERAGE(B299:B301)</f>
        <v>-0.47000000000000003</v>
      </c>
    </row>
    <row r="300" spans="1:4" x14ac:dyDescent="0.25">
      <c r="A300" s="1">
        <v>37164</v>
      </c>
      <c r="B300">
        <v>-0.85</v>
      </c>
    </row>
    <row r="301" spans="1:4" x14ac:dyDescent="0.25">
      <c r="A301" s="1">
        <v>37134</v>
      </c>
      <c r="B301">
        <v>-0.02</v>
      </c>
    </row>
    <row r="302" spans="1:4" x14ac:dyDescent="0.25">
      <c r="A302" s="1">
        <v>37103</v>
      </c>
      <c r="B302">
        <v>-0.1</v>
      </c>
      <c r="C302" s="4">
        <v>-0.06</v>
      </c>
      <c r="D302" s="4">
        <f>AVERAGE(B302:B304)</f>
        <v>-0.06</v>
      </c>
    </row>
    <row r="303" spans="1:4" x14ac:dyDescent="0.25">
      <c r="A303" s="1">
        <v>37072</v>
      </c>
      <c r="B303">
        <v>-0.28000000000000003</v>
      </c>
    </row>
    <row r="304" spans="1:4" x14ac:dyDescent="0.25">
      <c r="A304" s="1">
        <v>37042</v>
      </c>
      <c r="B304">
        <v>0.2</v>
      </c>
    </row>
    <row r="305" spans="1:4" x14ac:dyDescent="0.25">
      <c r="A305" s="1">
        <v>37011</v>
      </c>
      <c r="B305">
        <v>0.34</v>
      </c>
      <c r="C305" s="4">
        <v>-6.6666666666666723E-3</v>
      </c>
      <c r="D305" s="4">
        <f>AVERAGE(B305:B307)</f>
        <v>-6.6666666666666723E-3</v>
      </c>
    </row>
    <row r="306" spans="1:4" x14ac:dyDescent="0.25">
      <c r="A306" s="1">
        <v>36981</v>
      </c>
      <c r="B306">
        <v>0.61</v>
      </c>
    </row>
    <row r="307" spans="1:4" x14ac:dyDescent="0.25">
      <c r="A307" s="1">
        <v>36950</v>
      </c>
      <c r="B307">
        <v>-0.97</v>
      </c>
    </row>
    <row r="308" spans="1:4" x14ac:dyDescent="0.25">
      <c r="A308" s="1">
        <v>36922</v>
      </c>
      <c r="B308">
        <v>2.21</v>
      </c>
      <c r="C308" s="4">
        <v>1.2466666666666668</v>
      </c>
      <c r="D308" s="4">
        <f>AVERAGE(B308:B310)</f>
        <v>1.2466666666666668</v>
      </c>
    </row>
    <row r="309" spans="1:4" x14ac:dyDescent="0.25">
      <c r="A309" s="1">
        <v>36891</v>
      </c>
      <c r="B309">
        <v>0.74</v>
      </c>
    </row>
    <row r="310" spans="1:4" x14ac:dyDescent="0.25">
      <c r="A310" s="1">
        <v>36860</v>
      </c>
      <c r="B310">
        <v>0.79</v>
      </c>
    </row>
    <row r="311" spans="1:4" x14ac:dyDescent="0.25">
      <c r="A311" s="1">
        <v>36830</v>
      </c>
      <c r="B311">
        <v>0.79</v>
      </c>
      <c r="C311" s="4">
        <v>0.70000000000000007</v>
      </c>
      <c r="D311" s="4">
        <f>AVERAGE(B311:B313)</f>
        <v>0.70000000000000007</v>
      </c>
    </row>
    <row r="312" spans="1:4" x14ac:dyDescent="0.25">
      <c r="A312" s="1">
        <v>36799</v>
      </c>
      <c r="B312">
        <v>0.85</v>
      </c>
    </row>
    <row r="313" spans="1:4" x14ac:dyDescent="0.25">
      <c r="A313" s="1">
        <v>36769</v>
      </c>
      <c r="B313">
        <v>0.46</v>
      </c>
    </row>
    <row r="315" spans="1:4" x14ac:dyDescent="0.25">
      <c r="C315" s="4"/>
      <c r="D315" s="4"/>
    </row>
  </sheetData>
  <autoFilter ref="C1:C315" xr:uid="{CFAFCF42-3B4E-40A6-A1C4-58C1D10924FB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76BE6-3542-4033-8FAD-B5C8EB126264}">
  <dimension ref="A1:B177"/>
  <sheetViews>
    <sheetView zoomScale="130" zoomScaleNormal="130" workbookViewId="0">
      <selection activeCell="E6" sqref="E6"/>
    </sheetView>
  </sheetViews>
  <sheetFormatPr defaultRowHeight="15.75" x14ac:dyDescent="0.25"/>
  <cols>
    <col min="1" max="1" width="11" bestFit="1" customWidth="1"/>
    <col min="2" max="2" width="23.5703125" bestFit="1" customWidth="1"/>
  </cols>
  <sheetData>
    <row r="1" spans="1:2" x14ac:dyDescent="0.25">
      <c r="A1" t="s">
        <v>0</v>
      </c>
      <c r="B1" t="s">
        <v>6</v>
      </c>
    </row>
    <row r="2" spans="1:2" x14ac:dyDescent="0.25">
      <c r="A2" s="1">
        <v>46203</v>
      </c>
      <c r="B2" s="4">
        <v>2.3133333333333335</v>
      </c>
    </row>
    <row r="3" spans="1:2" x14ac:dyDescent="0.25">
      <c r="A3" s="1">
        <v>46081</v>
      </c>
      <c r="B3" s="4">
        <v>2.15</v>
      </c>
    </row>
    <row r="4" spans="1:2" x14ac:dyDescent="0.25">
      <c r="A4" s="1">
        <v>45930</v>
      </c>
      <c r="B4" s="4">
        <v>1.5966666666666667</v>
      </c>
    </row>
    <row r="5" spans="1:2" x14ac:dyDescent="0.25">
      <c r="A5" s="1">
        <v>45808</v>
      </c>
      <c r="B5" s="4">
        <v>1.68</v>
      </c>
    </row>
    <row r="6" spans="1:2" x14ac:dyDescent="0.25">
      <c r="A6" s="1">
        <v>45657</v>
      </c>
      <c r="B6" s="4">
        <v>1.5866666666666667</v>
      </c>
    </row>
    <row r="7" spans="1:2" x14ac:dyDescent="0.25">
      <c r="A7" s="1">
        <v>45535</v>
      </c>
      <c r="B7" s="4">
        <v>1.4366666666666668</v>
      </c>
    </row>
    <row r="8" spans="1:2" x14ac:dyDescent="0.25">
      <c r="A8" s="1">
        <v>45382</v>
      </c>
      <c r="B8" s="4">
        <v>1.88</v>
      </c>
    </row>
    <row r="9" spans="1:2" x14ac:dyDescent="0.25">
      <c r="A9" s="1">
        <v>45260</v>
      </c>
      <c r="B9" s="4">
        <v>1.74</v>
      </c>
    </row>
    <row r="10" spans="1:2" x14ac:dyDescent="0.25">
      <c r="A10" s="1">
        <v>45107</v>
      </c>
      <c r="B10" s="4">
        <v>1.8366666666666667</v>
      </c>
    </row>
    <row r="11" spans="1:2" x14ac:dyDescent="0.25">
      <c r="A11" s="1">
        <v>44985</v>
      </c>
      <c r="B11" s="4">
        <v>2.2799999999999998</v>
      </c>
    </row>
    <row r="12" spans="1:2" x14ac:dyDescent="0.25">
      <c r="A12" s="1">
        <v>44834</v>
      </c>
      <c r="B12" s="4">
        <v>2.1566666666666667</v>
      </c>
    </row>
    <row r="13" spans="1:2" x14ac:dyDescent="0.25">
      <c r="A13" s="1">
        <v>44712</v>
      </c>
      <c r="B13" s="4">
        <v>2.5133333333333336</v>
      </c>
    </row>
    <row r="14" spans="1:2" x14ac:dyDescent="0.25">
      <c r="A14" s="1">
        <v>44561</v>
      </c>
      <c r="B14" s="4">
        <v>2.6366666666666667</v>
      </c>
    </row>
    <row r="15" spans="1:2" x14ac:dyDescent="0.25">
      <c r="A15" s="1">
        <v>44439</v>
      </c>
      <c r="B15" s="4">
        <v>2.6066666666666665</v>
      </c>
    </row>
    <row r="16" spans="1:2" x14ac:dyDescent="0.25">
      <c r="A16" s="1">
        <v>44286</v>
      </c>
      <c r="B16" s="4">
        <v>2.8533333333333335</v>
      </c>
    </row>
    <row r="17" spans="1:2" x14ac:dyDescent="0.25">
      <c r="A17" s="1">
        <v>44165</v>
      </c>
      <c r="B17" s="4">
        <v>2.8366666666666664</v>
      </c>
    </row>
    <row r="18" spans="1:2" x14ac:dyDescent="0.25">
      <c r="A18" s="1">
        <v>44012</v>
      </c>
      <c r="B18" s="4">
        <v>2.7033333333333331</v>
      </c>
    </row>
    <row r="19" spans="1:2" x14ac:dyDescent="0.25">
      <c r="A19" s="1">
        <v>43890</v>
      </c>
      <c r="B19" s="4">
        <v>2.2133333333333334</v>
      </c>
    </row>
    <row r="20" spans="1:2" x14ac:dyDescent="0.25">
      <c r="A20" s="1">
        <v>43738</v>
      </c>
      <c r="B20" s="4">
        <v>1.9233333333333331</v>
      </c>
    </row>
    <row r="21" spans="1:2" x14ac:dyDescent="0.25">
      <c r="A21" s="1">
        <v>43616</v>
      </c>
      <c r="B21" s="4">
        <v>1.4766666666666666</v>
      </c>
    </row>
    <row r="22" spans="1:2" x14ac:dyDescent="0.25">
      <c r="A22" s="1">
        <v>43465</v>
      </c>
      <c r="B22" s="4">
        <v>1.3566666666666667</v>
      </c>
    </row>
    <row r="23" spans="1:2" x14ac:dyDescent="0.25">
      <c r="A23" s="1">
        <v>43343</v>
      </c>
      <c r="B23" s="4">
        <v>1.3499999999999999</v>
      </c>
    </row>
    <row r="24" spans="1:2" x14ac:dyDescent="0.25">
      <c r="A24" s="1">
        <v>43190</v>
      </c>
      <c r="B24" s="4">
        <v>0.49000000000000005</v>
      </c>
    </row>
    <row r="25" spans="1:2" x14ac:dyDescent="0.25">
      <c r="A25" s="1">
        <v>43069</v>
      </c>
      <c r="B25" s="4">
        <v>0.36000000000000004</v>
      </c>
    </row>
    <row r="26" spans="1:2" x14ac:dyDescent="0.25">
      <c r="A26" s="1">
        <v>42916</v>
      </c>
      <c r="B26" s="4">
        <v>0.11666666666666668</v>
      </c>
    </row>
    <row r="27" spans="1:2" x14ac:dyDescent="0.25">
      <c r="A27" s="1">
        <v>42794</v>
      </c>
      <c r="B27" s="4">
        <v>3.3333333333333361E-3</v>
      </c>
    </row>
    <row r="28" spans="1:2" x14ac:dyDescent="0.25">
      <c r="A28" s="1">
        <v>42643</v>
      </c>
      <c r="B28" s="4">
        <v>0.81</v>
      </c>
    </row>
    <row r="29" spans="1:2" x14ac:dyDescent="0.25">
      <c r="A29" s="1">
        <v>42521</v>
      </c>
      <c r="B29" s="4">
        <v>0.50666666666666671</v>
      </c>
    </row>
    <row r="30" spans="1:2" x14ac:dyDescent="0.25">
      <c r="A30" s="1">
        <v>42369</v>
      </c>
      <c r="B30" s="4">
        <v>0.47000000000000003</v>
      </c>
    </row>
    <row r="31" spans="1:2" x14ac:dyDescent="0.25">
      <c r="A31" s="1">
        <v>42247</v>
      </c>
      <c r="B31" s="4">
        <v>0.44</v>
      </c>
    </row>
    <row r="32" spans="1:2" x14ac:dyDescent="0.25">
      <c r="A32" s="1">
        <v>42094</v>
      </c>
      <c r="B32" s="4">
        <v>0.55666666666666664</v>
      </c>
    </row>
    <row r="33" spans="1:2" x14ac:dyDescent="0.25">
      <c r="A33" s="1">
        <v>41973</v>
      </c>
      <c r="B33" s="4">
        <v>1.0966666666666667</v>
      </c>
    </row>
    <row r="34" spans="1:2" x14ac:dyDescent="0.25">
      <c r="A34" s="1">
        <v>41820</v>
      </c>
      <c r="B34" s="4">
        <v>1.3333333333333333</v>
      </c>
    </row>
    <row r="35" spans="1:2" x14ac:dyDescent="0.25">
      <c r="A35" s="1">
        <v>41698</v>
      </c>
      <c r="B35" s="4">
        <v>1.7566666666666666</v>
      </c>
    </row>
    <row r="36" spans="1:2" x14ac:dyDescent="0.25">
      <c r="A36" s="1">
        <v>41547</v>
      </c>
      <c r="B36" s="4">
        <v>1.2266666666666666</v>
      </c>
    </row>
    <row r="37" spans="1:2" x14ac:dyDescent="0.25">
      <c r="A37" s="1">
        <v>41425</v>
      </c>
      <c r="B37" s="4">
        <v>0.96</v>
      </c>
    </row>
    <row r="38" spans="1:2" x14ac:dyDescent="0.25">
      <c r="A38" s="1">
        <v>41274</v>
      </c>
      <c r="B38" s="4">
        <v>0.9966666666666667</v>
      </c>
    </row>
    <row r="39" spans="1:2" x14ac:dyDescent="0.25">
      <c r="A39" s="1">
        <v>41152</v>
      </c>
      <c r="B39" s="4">
        <v>0.70666666666666667</v>
      </c>
    </row>
    <row r="40" spans="1:2" x14ac:dyDescent="0.25">
      <c r="A40" s="1">
        <v>40999</v>
      </c>
      <c r="B40" s="4">
        <v>1.0933333333333335</v>
      </c>
    </row>
    <row r="41" spans="1:2" x14ac:dyDescent="0.25">
      <c r="A41" s="1">
        <v>40877</v>
      </c>
      <c r="B41" s="4">
        <v>0.8933333333333332</v>
      </c>
    </row>
    <row r="42" spans="1:2" x14ac:dyDescent="0.25">
      <c r="A42" s="1">
        <v>40724</v>
      </c>
      <c r="B42" s="4">
        <v>0.84</v>
      </c>
    </row>
    <row r="43" spans="1:2" x14ac:dyDescent="0.25">
      <c r="A43" s="1">
        <v>40602</v>
      </c>
      <c r="B43" s="4">
        <v>0.83666666666666678</v>
      </c>
    </row>
    <row r="44" spans="1:2" x14ac:dyDescent="0.25">
      <c r="A44" s="1">
        <v>40451</v>
      </c>
      <c r="B44" s="4">
        <v>0.76666666666666661</v>
      </c>
    </row>
    <row r="45" spans="1:2" x14ac:dyDescent="0.25">
      <c r="A45" s="1">
        <v>40329</v>
      </c>
      <c r="B45" s="4">
        <v>0.6433333333333332</v>
      </c>
    </row>
    <row r="46" spans="1:2" x14ac:dyDescent="0.25">
      <c r="A46" s="1">
        <v>40178</v>
      </c>
      <c r="B46" s="4">
        <v>0.6166666666666667</v>
      </c>
    </row>
    <row r="47" spans="1:2" x14ac:dyDescent="0.25">
      <c r="A47" s="1">
        <v>40056</v>
      </c>
      <c r="B47" s="4">
        <v>1.1399999999999999</v>
      </c>
    </row>
    <row r="48" spans="1:2" x14ac:dyDescent="0.25">
      <c r="A48" s="1">
        <v>39903</v>
      </c>
      <c r="B48" s="4">
        <v>1.1333333333333333</v>
      </c>
    </row>
    <row r="49" spans="1:2" x14ac:dyDescent="0.25">
      <c r="A49" s="1">
        <v>39782</v>
      </c>
      <c r="B49" s="4">
        <v>1.61</v>
      </c>
    </row>
    <row r="50" spans="1:2" x14ac:dyDescent="0.25">
      <c r="A50" s="1">
        <v>39629</v>
      </c>
      <c r="B50" s="4">
        <v>1.4966666666666668</v>
      </c>
    </row>
    <row r="51" spans="1:2" x14ac:dyDescent="0.25">
      <c r="A51" s="1">
        <v>39507</v>
      </c>
      <c r="B51" s="4">
        <v>0.67</v>
      </c>
    </row>
    <row r="52" spans="1:2" x14ac:dyDescent="0.25">
      <c r="A52" s="1">
        <v>39355</v>
      </c>
      <c r="B52" s="4">
        <v>0.47666666666666663</v>
      </c>
    </row>
    <row r="53" spans="1:2" x14ac:dyDescent="0.25">
      <c r="A53" s="1">
        <v>39233</v>
      </c>
      <c r="B53" s="4">
        <v>0.43</v>
      </c>
    </row>
    <row r="54" spans="1:2" x14ac:dyDescent="0.25">
      <c r="A54" s="1">
        <v>39082</v>
      </c>
      <c r="B54" s="4">
        <v>0.58333333333333337</v>
      </c>
    </row>
    <row r="55" spans="1:2" x14ac:dyDescent="0.25">
      <c r="A55" s="1">
        <v>38960</v>
      </c>
      <c r="B55" s="4">
        <v>1.4133333333333333</v>
      </c>
    </row>
    <row r="56" spans="1:2" x14ac:dyDescent="0.25">
      <c r="A56" s="1">
        <v>38807</v>
      </c>
      <c r="B56" s="4">
        <v>0.79666666666666675</v>
      </c>
    </row>
    <row r="57" spans="1:2" x14ac:dyDescent="0.25">
      <c r="A57" s="1">
        <v>38686</v>
      </c>
      <c r="B57" s="4">
        <v>1.0566666666666666</v>
      </c>
    </row>
    <row r="58" spans="1:2" x14ac:dyDescent="0.25">
      <c r="A58" s="1">
        <v>38533</v>
      </c>
      <c r="B58" s="4">
        <v>0.97666666666666657</v>
      </c>
    </row>
    <row r="59" spans="1:2" x14ac:dyDescent="0.25">
      <c r="A59" s="1">
        <v>38411</v>
      </c>
      <c r="B59" s="4">
        <v>0.6166666666666667</v>
      </c>
    </row>
    <row r="60" spans="1:2" x14ac:dyDescent="0.25">
      <c r="A60" s="1">
        <v>38260</v>
      </c>
      <c r="B60" s="4">
        <v>1.5333333333333332</v>
      </c>
    </row>
    <row r="61" spans="1:2" x14ac:dyDescent="0.25">
      <c r="A61" s="1">
        <v>38138</v>
      </c>
      <c r="B61" s="4">
        <v>1.4100000000000001</v>
      </c>
    </row>
    <row r="62" spans="1:2" x14ac:dyDescent="0.25">
      <c r="A62" s="1">
        <v>37986</v>
      </c>
      <c r="B62" s="4">
        <v>1.3099999999999998</v>
      </c>
    </row>
    <row r="63" spans="1:2" x14ac:dyDescent="0.25">
      <c r="A63" s="1">
        <v>37864</v>
      </c>
      <c r="B63" s="4">
        <v>1.0433333333333332</v>
      </c>
    </row>
    <row r="64" spans="1:2" x14ac:dyDescent="0.25">
      <c r="A64" s="1">
        <v>37711</v>
      </c>
      <c r="B64" s="4">
        <v>1.0766666666666667</v>
      </c>
    </row>
    <row r="65" spans="1:2" x14ac:dyDescent="0.25">
      <c r="A65" s="1">
        <v>37590</v>
      </c>
      <c r="B65" s="4">
        <v>0.68666666666666654</v>
      </c>
    </row>
    <row r="66" spans="1:2" x14ac:dyDescent="0.25">
      <c r="A66" s="1">
        <v>37437</v>
      </c>
      <c r="B66" s="4">
        <v>0.68666666666666665</v>
      </c>
    </row>
    <row r="67" spans="1:2" x14ac:dyDescent="0.25">
      <c r="A67" s="1">
        <v>37315</v>
      </c>
      <c r="B67" s="4">
        <v>0.6166666666666667</v>
      </c>
    </row>
    <row r="68" spans="1:2" x14ac:dyDescent="0.25">
      <c r="A68" s="1">
        <v>37164</v>
      </c>
      <c r="B68" s="4">
        <v>-0.8566666666666668</v>
      </c>
    </row>
    <row r="69" spans="1:2" x14ac:dyDescent="0.25">
      <c r="A69" s="1">
        <v>37042</v>
      </c>
      <c r="B69" s="4">
        <v>-0.82666666666666666</v>
      </c>
    </row>
    <row r="70" spans="1:2" x14ac:dyDescent="0.25">
      <c r="A70" s="1">
        <v>36891</v>
      </c>
      <c r="B70" s="4">
        <v>-0.39666666666666672</v>
      </c>
    </row>
    <row r="71" spans="1:2" x14ac:dyDescent="0.25">
      <c r="A71" s="1">
        <v>36769</v>
      </c>
      <c r="B71" s="4">
        <v>0.65333333333333332</v>
      </c>
    </row>
    <row r="74" spans="1:2" x14ac:dyDescent="0.25">
      <c r="B74" s="4">
        <v>2.5733333333333333</v>
      </c>
    </row>
    <row r="77" spans="1:2" x14ac:dyDescent="0.25">
      <c r="B77" s="4">
        <v>3.56</v>
      </c>
    </row>
    <row r="80" spans="1:2" x14ac:dyDescent="0.25">
      <c r="B80" s="4">
        <v>3.8666666666666667</v>
      </c>
    </row>
    <row r="83" spans="2:2" x14ac:dyDescent="0.25">
      <c r="B83" s="4">
        <v>3.0533333333333332</v>
      </c>
    </row>
    <row r="86" spans="2:2" x14ac:dyDescent="0.25">
      <c r="B86" s="4">
        <v>2.6033333333333331</v>
      </c>
    </row>
    <row r="89" spans="2:2" x14ac:dyDescent="0.25">
      <c r="B89" s="4">
        <v>2.0500000000000003</v>
      </c>
    </row>
    <row r="92" spans="2:2" x14ac:dyDescent="0.25">
      <c r="B92" s="4">
        <v>1</v>
      </c>
    </row>
    <row r="95" spans="2:2" x14ac:dyDescent="0.25">
      <c r="B95" s="4">
        <v>1.0866666666666667</v>
      </c>
    </row>
    <row r="98" spans="2:2" x14ac:dyDescent="0.25">
      <c r="B98" s="4">
        <v>0.46333333333333337</v>
      </c>
    </row>
    <row r="101" spans="2:2" x14ac:dyDescent="0.25">
      <c r="B101" s="4">
        <v>0.38000000000000006</v>
      </c>
    </row>
    <row r="104" spans="2:2" x14ac:dyDescent="0.25">
      <c r="B104" s="4">
        <v>0.55333333333333334</v>
      </c>
    </row>
    <row r="107" spans="2:2" x14ac:dyDescent="0.25">
      <c r="B107" s="4">
        <v>0.24666666666666667</v>
      </c>
    </row>
    <row r="110" spans="2:2" x14ac:dyDescent="0.25">
      <c r="B110" s="4">
        <v>0.82666666666666666</v>
      </c>
    </row>
    <row r="113" spans="2:2" x14ac:dyDescent="0.25">
      <c r="B113" s="4">
        <v>0.69333333333333336</v>
      </c>
    </row>
    <row r="116" spans="2:2" x14ac:dyDescent="0.25">
      <c r="B116" s="4">
        <v>0.6166666666666667</v>
      </c>
    </row>
    <row r="118" spans="2:2" x14ac:dyDescent="0.25">
      <c r="B118" s="4"/>
    </row>
    <row r="119" spans="2:2" x14ac:dyDescent="0.25">
      <c r="B119" s="4">
        <v>1.3433333333333335</v>
      </c>
    </row>
    <row r="122" spans="2:2" x14ac:dyDescent="0.25">
      <c r="B122" s="4">
        <v>0.59333333333333338</v>
      </c>
    </row>
    <row r="125" spans="2:2" x14ac:dyDescent="0.25">
      <c r="B125" s="4">
        <v>1.07</v>
      </c>
    </row>
    <row r="128" spans="2:2" x14ac:dyDescent="0.25">
      <c r="B128" s="4">
        <v>1.0966666666666667</v>
      </c>
    </row>
    <row r="131" spans="2:2" x14ac:dyDescent="0.25">
      <c r="B131" s="4">
        <v>0.11333333333333334</v>
      </c>
    </row>
    <row r="134" spans="2:2" x14ac:dyDescent="0.25">
      <c r="B134" s="4">
        <v>-0.15333333333333335</v>
      </c>
    </row>
    <row r="137" spans="2:2" x14ac:dyDescent="0.25">
      <c r="B137" s="4">
        <v>-0.59666666666666668</v>
      </c>
    </row>
    <row r="140" spans="2:2" x14ac:dyDescent="0.25">
      <c r="B140" s="4">
        <v>-0.69666666666666666</v>
      </c>
    </row>
    <row r="143" spans="2:2" x14ac:dyDescent="0.25">
      <c r="B143" s="4">
        <v>-0.73333333333333339</v>
      </c>
    </row>
    <row r="146" spans="2:2" x14ac:dyDescent="0.25">
      <c r="B146" s="4">
        <v>0.60666666666666669</v>
      </c>
    </row>
    <row r="149" spans="2:2" x14ac:dyDescent="0.25">
      <c r="B149" s="4">
        <v>0.78666666666666663</v>
      </c>
    </row>
    <row r="152" spans="2:2" x14ac:dyDescent="0.25">
      <c r="B152" s="4">
        <v>0.70000000000000007</v>
      </c>
    </row>
    <row r="155" spans="2:2" x14ac:dyDescent="0.25">
      <c r="B155" s="4">
        <v>0.98666666666666669</v>
      </c>
    </row>
    <row r="158" spans="2:2" x14ac:dyDescent="0.25">
      <c r="B158" s="4">
        <v>-0.74666666666666659</v>
      </c>
    </row>
    <row r="161" spans="2:2" x14ac:dyDescent="0.25">
      <c r="B161" s="4">
        <v>-0.47000000000000003</v>
      </c>
    </row>
    <row r="164" spans="2:2" x14ac:dyDescent="0.25">
      <c r="B164" s="4">
        <v>-0.06</v>
      </c>
    </row>
    <row r="167" spans="2:2" x14ac:dyDescent="0.25">
      <c r="B167" s="4">
        <v>-6.6666666666666723E-3</v>
      </c>
    </row>
    <row r="170" spans="2:2" x14ac:dyDescent="0.25">
      <c r="B170" s="4">
        <v>1.2466666666666668</v>
      </c>
    </row>
    <row r="173" spans="2:2" x14ac:dyDescent="0.25">
      <c r="B173" s="4">
        <v>0.70000000000000007</v>
      </c>
    </row>
    <row r="177" spans="2:2" x14ac:dyDescent="0.25">
      <c r="B177" s="4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7652F-F4DC-49BA-A2EF-A4E59B3560F9}">
  <dimension ref="A1:C315"/>
  <sheetViews>
    <sheetView zoomScale="145" zoomScaleNormal="145" workbookViewId="0">
      <selection activeCell="B1" sqref="B1:B1048576"/>
    </sheetView>
  </sheetViews>
  <sheetFormatPr defaultRowHeight="15.75" x14ac:dyDescent="0.25"/>
  <cols>
    <col min="1" max="1" width="11" style="2" bestFit="1" customWidth="1"/>
    <col min="2" max="2" width="32.28515625" style="2" bestFit="1" customWidth="1"/>
    <col min="3" max="3" width="41.5703125" style="5" bestFit="1" customWidth="1"/>
  </cols>
  <sheetData>
    <row r="1" spans="1:3" x14ac:dyDescent="0.25">
      <c r="A1" s="2" t="s">
        <v>0</v>
      </c>
      <c r="B1" s="2" t="s">
        <v>7</v>
      </c>
      <c r="C1" s="2" t="s">
        <v>8</v>
      </c>
    </row>
    <row r="2" spans="1:3" x14ac:dyDescent="0.25">
      <c r="A2" s="3">
        <v>46234</v>
      </c>
      <c r="B2" s="2">
        <v>6.58</v>
      </c>
    </row>
    <row r="3" spans="1:3" x14ac:dyDescent="0.25">
      <c r="A3" s="3">
        <v>46203</v>
      </c>
      <c r="B3" s="2">
        <v>8.0399999999999991</v>
      </c>
    </row>
    <row r="4" spans="1:3" x14ac:dyDescent="0.25">
      <c r="A4" s="3">
        <v>46173</v>
      </c>
      <c r="B4" s="2">
        <v>8.36</v>
      </c>
      <c r="C4" s="6">
        <f>AVERAGE(B4:B6)</f>
        <v>7.1433333333333335</v>
      </c>
    </row>
    <row r="5" spans="1:3" x14ac:dyDescent="0.25">
      <c r="A5" s="3">
        <v>46142</v>
      </c>
      <c r="B5" s="2">
        <v>7.41</v>
      </c>
    </row>
    <row r="6" spans="1:3" x14ac:dyDescent="0.25">
      <c r="A6" s="3">
        <v>46112</v>
      </c>
      <c r="B6" s="2">
        <v>5.66</v>
      </c>
    </row>
    <row r="7" spans="1:3" x14ac:dyDescent="0.25">
      <c r="A7" s="3">
        <v>46081</v>
      </c>
      <c r="B7" s="2">
        <v>5.81</v>
      </c>
      <c r="C7" s="6">
        <f>AVERAGE(B7:B9)</f>
        <v>5.4266666666666667</v>
      </c>
    </row>
    <row r="8" spans="1:3" x14ac:dyDescent="0.25">
      <c r="A8" s="3">
        <v>46053</v>
      </c>
      <c r="B8" s="2">
        <v>5.31</v>
      </c>
    </row>
    <row r="9" spans="1:3" x14ac:dyDescent="0.25">
      <c r="A9" s="3">
        <v>46022</v>
      </c>
      <c r="B9" s="2">
        <v>5.16</v>
      </c>
    </row>
    <row r="10" spans="1:3" x14ac:dyDescent="0.25">
      <c r="A10" s="3">
        <v>45991</v>
      </c>
      <c r="B10" s="2">
        <v>5.17</v>
      </c>
      <c r="C10" s="6">
        <f>AVERAGE(B10:B12)</f>
        <v>5.2399999999999993</v>
      </c>
    </row>
    <row r="11" spans="1:3" x14ac:dyDescent="0.25">
      <c r="A11" s="3">
        <v>45961</v>
      </c>
      <c r="B11" s="2">
        <v>5.21</v>
      </c>
    </row>
    <row r="12" spans="1:3" x14ac:dyDescent="0.25">
      <c r="A12" s="3">
        <v>45930</v>
      </c>
      <c r="B12" s="2">
        <v>5.34</v>
      </c>
    </row>
    <row r="13" spans="1:3" x14ac:dyDescent="0.25">
      <c r="A13" s="3">
        <v>45900</v>
      </c>
      <c r="B13" s="2">
        <v>5.05</v>
      </c>
      <c r="C13" s="6">
        <f>AVERAGE(B13:B15)</f>
        <v>4.0666666666666664</v>
      </c>
    </row>
    <row r="14" spans="1:3" x14ac:dyDescent="0.25">
      <c r="A14" s="3">
        <v>45869</v>
      </c>
      <c r="B14" s="2">
        <v>4.05</v>
      </c>
    </row>
    <row r="15" spans="1:3" x14ac:dyDescent="0.25">
      <c r="A15" s="3">
        <v>45838</v>
      </c>
      <c r="B15" s="2">
        <v>3.1</v>
      </c>
    </row>
    <row r="16" spans="1:3" x14ac:dyDescent="0.25">
      <c r="A16" s="3">
        <v>45808</v>
      </c>
      <c r="B16" s="2">
        <v>3.32</v>
      </c>
      <c r="C16" s="6">
        <f>AVERAGE(B16:B18)</f>
        <v>3.6066666666666669</v>
      </c>
    </row>
    <row r="17" spans="1:3" x14ac:dyDescent="0.25">
      <c r="A17" s="3">
        <v>45777</v>
      </c>
      <c r="B17" s="2">
        <v>3.52</v>
      </c>
    </row>
    <row r="18" spans="1:3" x14ac:dyDescent="0.25">
      <c r="A18" s="3">
        <v>45747</v>
      </c>
      <c r="B18" s="2">
        <v>3.98</v>
      </c>
    </row>
    <row r="19" spans="1:3" x14ac:dyDescent="0.25">
      <c r="A19" s="3">
        <v>45716</v>
      </c>
      <c r="B19" s="2">
        <v>4.8600000000000003</v>
      </c>
      <c r="C19" s="6">
        <f>AVERAGE(B19:B21)</f>
        <v>5.22</v>
      </c>
    </row>
    <row r="20" spans="1:3" x14ac:dyDescent="0.25">
      <c r="A20" s="3">
        <v>45688</v>
      </c>
      <c r="B20" s="2">
        <v>5.39</v>
      </c>
    </row>
    <row r="21" spans="1:3" x14ac:dyDescent="0.25">
      <c r="A21" s="3">
        <v>45657</v>
      </c>
      <c r="B21" s="2">
        <v>5.41</v>
      </c>
    </row>
    <row r="22" spans="1:3" x14ac:dyDescent="0.25">
      <c r="A22" s="3">
        <v>45626</v>
      </c>
      <c r="B22" s="2">
        <v>5.27</v>
      </c>
      <c r="C22" s="6">
        <f>AVERAGE(B22:B24)</f>
        <v>5.5333333333333341</v>
      </c>
    </row>
    <row r="23" spans="1:3" x14ac:dyDescent="0.25">
      <c r="A23" s="3">
        <v>45596</v>
      </c>
      <c r="B23" s="2">
        <v>5.75</v>
      </c>
    </row>
    <row r="24" spans="1:3" x14ac:dyDescent="0.25">
      <c r="A24" s="3">
        <v>45565</v>
      </c>
      <c r="B24" s="2">
        <v>5.58</v>
      </c>
    </row>
    <row r="25" spans="1:3" x14ac:dyDescent="0.25">
      <c r="A25" s="3">
        <v>45535</v>
      </c>
      <c r="B25" s="2">
        <v>5.77</v>
      </c>
      <c r="C25" s="6">
        <f>AVERAGE(B25:B27)</f>
        <v>5.9733333333333336</v>
      </c>
    </row>
    <row r="26" spans="1:3" x14ac:dyDescent="0.25">
      <c r="A26" s="3">
        <v>45504</v>
      </c>
      <c r="B26" s="2">
        <v>5.9</v>
      </c>
    </row>
    <row r="27" spans="1:3" x14ac:dyDescent="0.25">
      <c r="A27" s="3">
        <v>45473</v>
      </c>
      <c r="B27" s="2">
        <v>6.25</v>
      </c>
    </row>
    <row r="28" spans="1:3" x14ac:dyDescent="0.25">
      <c r="A28" s="3">
        <v>45443</v>
      </c>
      <c r="B28" s="2">
        <v>6.45</v>
      </c>
      <c r="C28" s="6">
        <f>AVERAGE(B28:B30)</f>
        <v>6.2433333333333332</v>
      </c>
    </row>
    <row r="29" spans="1:3" x14ac:dyDescent="0.25">
      <c r="A29" s="3">
        <v>45412</v>
      </c>
      <c r="B29" s="2">
        <v>5.83</v>
      </c>
    </row>
    <row r="30" spans="1:3" x14ac:dyDescent="0.25">
      <c r="A30" s="3">
        <v>45382</v>
      </c>
      <c r="B30" s="2">
        <v>6.45</v>
      </c>
    </row>
    <row r="31" spans="1:3" x14ac:dyDescent="0.25">
      <c r="A31" s="3">
        <v>45351</v>
      </c>
      <c r="B31" s="2">
        <v>5.87</v>
      </c>
      <c r="C31" s="6">
        <f>AVERAGE(B31:B33)</f>
        <v>5.56</v>
      </c>
    </row>
    <row r="32" spans="1:3" x14ac:dyDescent="0.25">
      <c r="A32" s="3">
        <v>45322</v>
      </c>
      <c r="B32" s="2">
        <v>5.17</v>
      </c>
    </row>
    <row r="33" spans="1:3" x14ac:dyDescent="0.25">
      <c r="A33" s="3">
        <v>45291</v>
      </c>
      <c r="B33" s="2">
        <v>5.64</v>
      </c>
    </row>
    <row r="34" spans="1:3" x14ac:dyDescent="0.25">
      <c r="A34" s="3">
        <v>45260</v>
      </c>
      <c r="B34" s="2">
        <v>5.19</v>
      </c>
      <c r="C34" s="6">
        <f>AVERAGE(B34:B36)</f>
        <v>5.5233333333333334</v>
      </c>
    </row>
    <row r="35" spans="1:3" x14ac:dyDescent="0.25">
      <c r="A35" s="3">
        <v>45230</v>
      </c>
      <c r="B35" s="2">
        <v>5.48</v>
      </c>
    </row>
    <row r="36" spans="1:3" x14ac:dyDescent="0.25">
      <c r="A36" s="3">
        <v>45199</v>
      </c>
      <c r="B36" s="2">
        <v>5.9</v>
      </c>
    </row>
    <row r="37" spans="1:3" x14ac:dyDescent="0.25">
      <c r="A37" s="3">
        <v>45169</v>
      </c>
      <c r="B37" s="2">
        <v>6.34</v>
      </c>
      <c r="C37" s="6">
        <f>AVERAGE(B37:B39)</f>
        <v>6.8</v>
      </c>
    </row>
    <row r="38" spans="1:3" x14ac:dyDescent="0.25">
      <c r="A38" s="3">
        <v>45138</v>
      </c>
      <c r="B38" s="2">
        <v>7.21</v>
      </c>
    </row>
    <row r="39" spans="1:3" x14ac:dyDescent="0.25">
      <c r="A39" s="3">
        <v>45107</v>
      </c>
      <c r="B39" s="2">
        <v>6.85</v>
      </c>
    </row>
    <row r="40" spans="1:3" x14ac:dyDescent="0.25">
      <c r="A40" s="3">
        <v>45077</v>
      </c>
      <c r="B40" s="2">
        <v>6.18</v>
      </c>
      <c r="C40" s="6">
        <f>AVERAGE(B40:B42)</f>
        <v>6.52</v>
      </c>
    </row>
    <row r="41" spans="1:3" x14ac:dyDescent="0.25">
      <c r="A41" s="3">
        <v>45046</v>
      </c>
      <c r="B41" s="2">
        <v>6.75</v>
      </c>
    </row>
    <row r="42" spans="1:3" x14ac:dyDescent="0.25">
      <c r="A42" s="3">
        <v>45016</v>
      </c>
      <c r="B42" s="2">
        <v>6.63</v>
      </c>
    </row>
    <row r="43" spans="1:3" x14ac:dyDescent="0.25">
      <c r="A43" s="3">
        <v>44985</v>
      </c>
      <c r="B43" s="2">
        <v>6.89</v>
      </c>
      <c r="C43" s="6">
        <f>AVERAGE(B43:B45)</f>
        <v>6.8599999999999994</v>
      </c>
    </row>
    <row r="44" spans="1:3" x14ac:dyDescent="0.25">
      <c r="A44" s="3">
        <v>44957</v>
      </c>
      <c r="B44" s="2">
        <v>6.95</v>
      </c>
    </row>
    <row r="45" spans="1:3" x14ac:dyDescent="0.25">
      <c r="A45" s="3">
        <v>44926</v>
      </c>
      <c r="B45" s="2">
        <v>6.74</v>
      </c>
    </row>
    <row r="46" spans="1:3" x14ac:dyDescent="0.25">
      <c r="A46" s="3">
        <v>44895</v>
      </c>
      <c r="B46" s="2">
        <v>7.52</v>
      </c>
      <c r="C46" s="6">
        <f>AVERAGE(B46:B48)</f>
        <v>7.3</v>
      </c>
    </row>
    <row r="47" spans="1:3" x14ac:dyDescent="0.25">
      <c r="A47" s="3">
        <v>44865</v>
      </c>
      <c r="B47" s="2">
        <v>7.49</v>
      </c>
    </row>
    <row r="48" spans="1:3" x14ac:dyDescent="0.25">
      <c r="A48" s="3">
        <v>44834</v>
      </c>
      <c r="B48" s="2">
        <v>6.89</v>
      </c>
    </row>
    <row r="49" spans="1:3" x14ac:dyDescent="0.25">
      <c r="A49" s="3">
        <v>44804</v>
      </c>
      <c r="B49" s="2">
        <v>6.96</v>
      </c>
      <c r="C49" s="6">
        <f>AVERAGE(B49:B51)</f>
        <v>7.07</v>
      </c>
    </row>
    <row r="50" spans="1:3" x14ac:dyDescent="0.25">
      <c r="A50" s="3">
        <v>44773</v>
      </c>
      <c r="B50" s="2">
        <v>6.9</v>
      </c>
    </row>
    <row r="51" spans="1:3" x14ac:dyDescent="0.25">
      <c r="A51" s="3">
        <v>44742</v>
      </c>
      <c r="B51" s="2">
        <v>7.35</v>
      </c>
    </row>
    <row r="52" spans="1:3" x14ac:dyDescent="0.25">
      <c r="A52" s="3">
        <v>44712</v>
      </c>
      <c r="B52" s="2">
        <v>7.49</v>
      </c>
      <c r="C52" s="6">
        <f>AVERAGE(B52:B54)</f>
        <v>7.9833333333333343</v>
      </c>
    </row>
    <row r="53" spans="1:3" x14ac:dyDescent="0.25">
      <c r="A53" s="3">
        <v>44681</v>
      </c>
      <c r="B53" s="2">
        <v>8.24</v>
      </c>
    </row>
    <row r="54" spans="1:3" x14ac:dyDescent="0.25">
      <c r="A54" s="3">
        <v>44651</v>
      </c>
      <c r="B54" s="2">
        <v>8.2200000000000006</v>
      </c>
    </row>
    <row r="55" spans="1:3" x14ac:dyDescent="0.25">
      <c r="A55" s="3">
        <v>44620</v>
      </c>
      <c r="B55" s="2">
        <v>7.65</v>
      </c>
      <c r="C55" s="6">
        <f>AVERAGE(B55:B57)</f>
        <v>7.8433333333333337</v>
      </c>
    </row>
    <row r="56" spans="1:3" x14ac:dyDescent="0.25">
      <c r="A56" s="3">
        <v>44592</v>
      </c>
      <c r="B56" s="2">
        <v>8.5299999999999994</v>
      </c>
    </row>
    <row r="57" spans="1:3" x14ac:dyDescent="0.25">
      <c r="A57" s="3">
        <v>44561</v>
      </c>
      <c r="B57" s="2">
        <v>7.35</v>
      </c>
    </row>
    <row r="58" spans="1:3" x14ac:dyDescent="0.25">
      <c r="A58" s="3">
        <v>44530</v>
      </c>
      <c r="B58" s="2">
        <v>8.18</v>
      </c>
      <c r="C58" s="6">
        <f>AVERAGE(B58:B60)</f>
        <v>8.5266666666666655</v>
      </c>
    </row>
    <row r="59" spans="1:3" x14ac:dyDescent="0.25">
      <c r="A59" s="3">
        <v>44500</v>
      </c>
      <c r="B59" s="2">
        <v>8.51</v>
      </c>
    </row>
    <row r="60" spans="1:3" x14ac:dyDescent="0.25">
      <c r="A60" s="3">
        <v>44469</v>
      </c>
      <c r="B60" s="2">
        <v>8.89</v>
      </c>
    </row>
    <row r="61" spans="1:3" x14ac:dyDescent="0.25">
      <c r="A61" s="3">
        <v>44439</v>
      </c>
      <c r="B61" s="2">
        <v>8.59</v>
      </c>
      <c r="C61" s="6">
        <f>AVERAGE(B61:B63)</f>
        <v>8.7366666666666664</v>
      </c>
    </row>
    <row r="62" spans="1:3" x14ac:dyDescent="0.25">
      <c r="A62" s="3">
        <v>44408</v>
      </c>
      <c r="B62" s="2">
        <v>8.7100000000000009</v>
      </c>
    </row>
    <row r="63" spans="1:3" x14ac:dyDescent="0.25">
      <c r="A63" s="3">
        <v>44377</v>
      </c>
      <c r="B63" s="2">
        <v>8.91</v>
      </c>
    </row>
    <row r="64" spans="1:3" x14ac:dyDescent="0.25">
      <c r="A64" s="3">
        <v>44347</v>
      </c>
      <c r="B64" s="2">
        <v>9.2200000000000006</v>
      </c>
      <c r="C64" s="6">
        <f>AVERAGE(B64:B66)</f>
        <v>8.9700000000000006</v>
      </c>
    </row>
    <row r="65" spans="1:3" x14ac:dyDescent="0.25">
      <c r="A65" s="3">
        <v>44316</v>
      </c>
      <c r="B65" s="2">
        <v>8.99</v>
      </c>
    </row>
    <row r="66" spans="1:3" x14ac:dyDescent="0.25">
      <c r="A66" s="3">
        <v>44286</v>
      </c>
      <c r="B66" s="2">
        <v>8.6999999999999993</v>
      </c>
    </row>
    <row r="67" spans="1:3" x14ac:dyDescent="0.25">
      <c r="A67" s="3">
        <v>44255</v>
      </c>
      <c r="B67" s="2">
        <v>9.17</v>
      </c>
      <c r="C67" s="6">
        <f>AVERAGE(B67:B69)</f>
        <v>8.8800000000000008</v>
      </c>
    </row>
    <row r="68" spans="1:3" x14ac:dyDescent="0.25">
      <c r="A68" s="3">
        <v>44227</v>
      </c>
      <c r="B68" s="2">
        <v>8.11</v>
      </c>
    </row>
    <row r="69" spans="1:3" x14ac:dyDescent="0.25">
      <c r="A69" s="3">
        <v>44196</v>
      </c>
      <c r="B69" s="2">
        <v>9.36</v>
      </c>
    </row>
    <row r="70" spans="1:3" x14ac:dyDescent="0.25">
      <c r="A70" s="3">
        <v>44165</v>
      </c>
      <c r="B70" s="2">
        <v>7.58</v>
      </c>
      <c r="C70" s="6">
        <f>AVERAGE(B70:B72)</f>
        <v>7.2133333333333338</v>
      </c>
    </row>
    <row r="71" spans="1:3" x14ac:dyDescent="0.25">
      <c r="A71" s="3">
        <v>44135</v>
      </c>
      <c r="B71" s="2">
        <v>7.02</v>
      </c>
    </row>
    <row r="72" spans="1:3" x14ac:dyDescent="0.25">
      <c r="A72" s="3">
        <v>44104</v>
      </c>
      <c r="B72" s="2">
        <v>7.04</v>
      </c>
    </row>
    <row r="73" spans="1:3" x14ac:dyDescent="0.25">
      <c r="A73" s="3">
        <v>44074</v>
      </c>
      <c r="B73" s="2">
        <v>6.72</v>
      </c>
      <c r="C73" s="6">
        <f>AVERAGE(B73:B75)</f>
        <v>6.1033333333333326</v>
      </c>
    </row>
    <row r="74" spans="1:3" x14ac:dyDescent="0.25">
      <c r="A74" s="3">
        <v>44043</v>
      </c>
      <c r="B74" s="2">
        <v>6.27</v>
      </c>
    </row>
    <row r="75" spans="1:3" x14ac:dyDescent="0.25">
      <c r="A75" s="3">
        <v>44012</v>
      </c>
      <c r="B75" s="2">
        <v>5.32</v>
      </c>
    </row>
    <row r="76" spans="1:3" x14ac:dyDescent="0.25">
      <c r="A76" s="3">
        <v>43982</v>
      </c>
      <c r="B76" s="2">
        <v>4.96</v>
      </c>
      <c r="C76" s="6">
        <f>AVERAGE(B76:B78)</f>
        <v>4.54</v>
      </c>
    </row>
    <row r="77" spans="1:3" x14ac:dyDescent="0.25">
      <c r="A77" s="3">
        <v>43951</v>
      </c>
      <c r="B77" s="2">
        <v>4.18</v>
      </c>
    </row>
    <row r="78" spans="1:3" x14ac:dyDescent="0.25">
      <c r="A78" s="3">
        <v>43921</v>
      </c>
      <c r="B78" s="2">
        <v>4.4800000000000004</v>
      </c>
    </row>
    <row r="79" spans="1:3" x14ac:dyDescent="0.25">
      <c r="A79" s="3">
        <v>43890</v>
      </c>
      <c r="B79" s="2">
        <v>4.4800000000000004</v>
      </c>
      <c r="C79" s="6">
        <f>AVERAGE(B79:B81)</f>
        <v>4.5333333333333332</v>
      </c>
    </row>
    <row r="80" spans="1:3" x14ac:dyDescent="0.25">
      <c r="A80" s="3">
        <v>43861</v>
      </c>
      <c r="B80" s="2">
        <v>4.5999999999999996</v>
      </c>
    </row>
    <row r="81" spans="1:3" x14ac:dyDescent="0.25">
      <c r="A81" s="3">
        <v>43830</v>
      </c>
      <c r="B81" s="2">
        <v>4.5199999999999996</v>
      </c>
    </row>
    <row r="82" spans="1:3" x14ac:dyDescent="0.25">
      <c r="A82" s="3">
        <v>43799</v>
      </c>
      <c r="B82" s="2">
        <v>4.2300000000000004</v>
      </c>
      <c r="C82" s="6">
        <f>AVERAGE(B82:B84)</f>
        <v>4.0066666666666668</v>
      </c>
    </row>
    <row r="83" spans="1:3" x14ac:dyDescent="0.25">
      <c r="A83" s="3">
        <v>43769</v>
      </c>
      <c r="B83" s="2">
        <v>4.2300000000000004</v>
      </c>
    </row>
    <row r="84" spans="1:3" x14ac:dyDescent="0.25">
      <c r="A84" s="3">
        <v>43738</v>
      </c>
      <c r="B84" s="2">
        <v>3.56</v>
      </c>
    </row>
    <row r="85" spans="1:3" x14ac:dyDescent="0.25">
      <c r="A85" s="3">
        <v>43708</v>
      </c>
      <c r="B85" s="2">
        <v>3.51</v>
      </c>
      <c r="C85" s="6">
        <f>AVERAGE(B85:B87)</f>
        <v>3.3766666666666665</v>
      </c>
    </row>
    <row r="86" spans="1:3" x14ac:dyDescent="0.25">
      <c r="A86" s="3">
        <v>43677</v>
      </c>
      <c r="B86" s="2">
        <v>3.26</v>
      </c>
    </row>
    <row r="87" spans="1:3" x14ac:dyDescent="0.25">
      <c r="A87" s="3">
        <v>43646</v>
      </c>
      <c r="B87" s="2">
        <v>3.36</v>
      </c>
    </row>
    <row r="88" spans="1:3" x14ac:dyDescent="0.25">
      <c r="A88" s="3">
        <v>43616</v>
      </c>
      <c r="B88" s="2">
        <v>3.13</v>
      </c>
      <c r="C88" s="6">
        <f>AVERAGE(B88:B90)</f>
        <v>3.36</v>
      </c>
    </row>
    <row r="89" spans="1:3" x14ac:dyDescent="0.25">
      <c r="A89" s="3">
        <v>43585</v>
      </c>
      <c r="B89" s="2">
        <v>3.61</v>
      </c>
    </row>
    <row r="90" spans="1:3" x14ac:dyDescent="0.25">
      <c r="A90" s="3">
        <v>43555</v>
      </c>
      <c r="B90" s="2">
        <v>3.34</v>
      </c>
    </row>
    <row r="91" spans="1:3" x14ac:dyDescent="0.25">
      <c r="A91" s="3">
        <v>43524</v>
      </c>
      <c r="B91" s="2">
        <v>2.99</v>
      </c>
      <c r="C91" s="6">
        <f>AVERAGE(B91:B93)</f>
        <v>3.0066666666666664</v>
      </c>
    </row>
    <row r="92" spans="1:3" x14ac:dyDescent="0.25">
      <c r="A92" s="3">
        <v>43496</v>
      </c>
      <c r="B92" s="2">
        <v>3.38</v>
      </c>
    </row>
    <row r="93" spans="1:3" x14ac:dyDescent="0.25">
      <c r="A93" s="3">
        <v>43465</v>
      </c>
      <c r="B93" s="2">
        <v>2.65</v>
      </c>
    </row>
    <row r="94" spans="1:3" x14ac:dyDescent="0.25">
      <c r="A94" s="3">
        <v>43434</v>
      </c>
      <c r="B94" s="2">
        <v>3.22</v>
      </c>
      <c r="C94" s="6">
        <f>AVERAGE(B94:B96)</f>
        <v>3.1933333333333334</v>
      </c>
    </row>
    <row r="95" spans="1:3" x14ac:dyDescent="0.25">
      <c r="A95" s="3">
        <v>43404</v>
      </c>
      <c r="B95" s="2">
        <v>3.03</v>
      </c>
    </row>
    <row r="96" spans="1:3" x14ac:dyDescent="0.25">
      <c r="A96" s="3">
        <v>43373</v>
      </c>
      <c r="B96" s="2">
        <v>3.33</v>
      </c>
    </row>
    <row r="97" spans="1:3" x14ac:dyDescent="0.25">
      <c r="A97" s="3">
        <v>43343</v>
      </c>
      <c r="B97" s="2">
        <v>3.17</v>
      </c>
      <c r="C97" s="6">
        <f>AVERAGE(B97:B99)</f>
        <v>3.56</v>
      </c>
    </row>
    <row r="98" spans="1:3" x14ac:dyDescent="0.25">
      <c r="A98" s="3">
        <v>43312</v>
      </c>
      <c r="B98" s="2">
        <v>3.75</v>
      </c>
    </row>
    <row r="99" spans="1:3" x14ac:dyDescent="0.25">
      <c r="A99" s="3">
        <v>43281</v>
      </c>
      <c r="B99" s="2">
        <v>3.76</v>
      </c>
    </row>
    <row r="100" spans="1:3" x14ac:dyDescent="0.25">
      <c r="A100" s="3">
        <v>43251</v>
      </c>
      <c r="B100" s="2">
        <v>4.01</v>
      </c>
      <c r="C100" s="6">
        <f>AVERAGE(B100:B102)</f>
        <v>3.6433333333333331</v>
      </c>
    </row>
    <row r="101" spans="1:3" x14ac:dyDescent="0.25">
      <c r="A101" s="3">
        <v>43220</v>
      </c>
      <c r="B101" s="2">
        <v>3.47</v>
      </c>
    </row>
    <row r="102" spans="1:3" x14ac:dyDescent="0.25">
      <c r="A102" s="3">
        <v>43190</v>
      </c>
      <c r="B102" s="2">
        <v>3.45</v>
      </c>
    </row>
    <row r="103" spans="1:3" x14ac:dyDescent="0.25">
      <c r="A103" s="3">
        <v>43159</v>
      </c>
      <c r="B103" s="2">
        <v>3.64</v>
      </c>
      <c r="C103" s="6">
        <f>AVERAGE(B103:B105)</f>
        <v>3.47</v>
      </c>
    </row>
    <row r="104" spans="1:3" x14ac:dyDescent="0.25">
      <c r="A104" s="3">
        <v>43131</v>
      </c>
      <c r="B104" s="2">
        <v>3.21</v>
      </c>
    </row>
    <row r="105" spans="1:3" x14ac:dyDescent="0.25">
      <c r="A105" s="3">
        <v>43100</v>
      </c>
      <c r="B105" s="2">
        <v>3.56</v>
      </c>
    </row>
    <row r="106" spans="1:3" x14ac:dyDescent="0.25">
      <c r="A106" s="3">
        <v>43069</v>
      </c>
      <c r="B106" s="2">
        <v>4.01</v>
      </c>
      <c r="C106" s="6">
        <f>AVERAGE(B106:B108)</f>
        <v>3.793333333333333</v>
      </c>
    </row>
    <row r="107" spans="1:3" x14ac:dyDescent="0.25">
      <c r="A107" s="3">
        <v>43039</v>
      </c>
      <c r="B107" s="2">
        <v>3.79</v>
      </c>
    </row>
    <row r="108" spans="1:3" x14ac:dyDescent="0.25">
      <c r="A108" s="3">
        <v>43008</v>
      </c>
      <c r="B108" s="2">
        <v>3.58</v>
      </c>
    </row>
    <row r="109" spans="1:3" x14ac:dyDescent="0.25">
      <c r="A109" s="3">
        <v>42978</v>
      </c>
      <c r="B109" s="2">
        <v>3.74</v>
      </c>
      <c r="C109" s="6">
        <f>AVERAGE(B109:B111)</f>
        <v>3.5233333333333334</v>
      </c>
    </row>
    <row r="110" spans="1:3" x14ac:dyDescent="0.25">
      <c r="A110" s="3">
        <v>42947</v>
      </c>
      <c r="B110" s="2">
        <v>3.26</v>
      </c>
    </row>
    <row r="111" spans="1:3" x14ac:dyDescent="0.25">
      <c r="A111" s="3">
        <v>42916</v>
      </c>
      <c r="B111" s="2">
        <v>3.57</v>
      </c>
    </row>
    <row r="112" spans="1:3" x14ac:dyDescent="0.25">
      <c r="A112" s="3">
        <v>42886</v>
      </c>
      <c r="B112" s="2">
        <v>3.81</v>
      </c>
      <c r="C112" s="6">
        <f>AVERAGE(B112:B114)</f>
        <v>3.6300000000000003</v>
      </c>
    </row>
    <row r="113" spans="1:3" x14ac:dyDescent="0.25">
      <c r="A113" s="3">
        <v>42855</v>
      </c>
      <c r="B113" s="2">
        <v>3.49</v>
      </c>
    </row>
    <row r="114" spans="1:3" x14ac:dyDescent="0.25">
      <c r="A114" s="3">
        <v>42825</v>
      </c>
      <c r="B114" s="2">
        <v>3.59</v>
      </c>
    </row>
    <row r="115" spans="1:3" x14ac:dyDescent="0.25">
      <c r="A115" s="3">
        <v>42794</v>
      </c>
      <c r="B115" s="2">
        <v>3.45</v>
      </c>
      <c r="C115" s="6">
        <f>AVERAGE(B115:B117)</f>
        <v>3.5133333333333332</v>
      </c>
    </row>
    <row r="116" spans="1:3" x14ac:dyDescent="0.25">
      <c r="A116" s="3">
        <v>42766</v>
      </c>
      <c r="B116" s="2">
        <v>3.54</v>
      </c>
    </row>
    <row r="117" spans="1:3" x14ac:dyDescent="0.25">
      <c r="A117" s="3">
        <v>42735</v>
      </c>
      <c r="B117" s="2">
        <v>3.55</v>
      </c>
    </row>
    <row r="118" spans="1:3" x14ac:dyDescent="0.25">
      <c r="A118" s="3">
        <v>42704</v>
      </c>
      <c r="B118" s="2">
        <v>3.77</v>
      </c>
      <c r="C118" s="6">
        <f>AVERAGE(B118:B120)</f>
        <v>3.86</v>
      </c>
    </row>
    <row r="119" spans="1:3" x14ac:dyDescent="0.25">
      <c r="A119" s="3">
        <v>42674</v>
      </c>
      <c r="B119" s="2">
        <v>3.83</v>
      </c>
    </row>
    <row r="120" spans="1:3" x14ac:dyDescent="0.25">
      <c r="A120" s="3">
        <v>42643</v>
      </c>
      <c r="B120" s="2">
        <v>3.98</v>
      </c>
    </row>
    <row r="121" spans="1:3" x14ac:dyDescent="0.25">
      <c r="A121" s="3">
        <v>42613</v>
      </c>
      <c r="B121" s="2">
        <v>4.24</v>
      </c>
      <c r="C121" s="6">
        <f>AVERAGE(B121:B123)</f>
        <v>4.5333333333333332</v>
      </c>
    </row>
    <row r="122" spans="1:3" x14ac:dyDescent="0.25">
      <c r="A122" s="3">
        <v>42582</v>
      </c>
      <c r="B122" s="2">
        <v>4.71</v>
      </c>
    </row>
    <row r="123" spans="1:3" x14ac:dyDescent="0.25">
      <c r="A123" s="3">
        <v>42551</v>
      </c>
      <c r="B123" s="2">
        <v>4.6500000000000004</v>
      </c>
    </row>
    <row r="124" spans="1:3" x14ac:dyDescent="0.25">
      <c r="A124" s="3">
        <v>42521</v>
      </c>
      <c r="B124" s="2">
        <v>3.88</v>
      </c>
      <c r="C124" s="6">
        <f>AVERAGE(B124:B126)</f>
        <v>4.3866666666666667</v>
      </c>
    </row>
    <row r="125" spans="1:3" x14ac:dyDescent="0.25">
      <c r="A125" s="3">
        <v>42490</v>
      </c>
      <c r="B125" s="2">
        <v>4.58</v>
      </c>
    </row>
    <row r="126" spans="1:3" x14ac:dyDescent="0.25">
      <c r="A126" s="3">
        <v>42460</v>
      </c>
      <c r="B126" s="2">
        <v>4.7</v>
      </c>
    </row>
    <row r="127" spans="1:3" x14ac:dyDescent="0.25">
      <c r="A127" s="3">
        <v>42429</v>
      </c>
      <c r="B127" s="2">
        <v>4.7300000000000004</v>
      </c>
      <c r="C127" s="6">
        <f>AVERAGE(B127:B129)</f>
        <v>5.4433333333333342</v>
      </c>
    </row>
    <row r="128" spans="1:3" x14ac:dyDescent="0.25">
      <c r="A128" s="3">
        <v>42400</v>
      </c>
      <c r="B128" s="2">
        <v>5.8</v>
      </c>
    </row>
    <row r="129" spans="1:3" x14ac:dyDescent="0.25">
      <c r="A129" s="3">
        <v>42369</v>
      </c>
      <c r="B129" s="2">
        <v>5.8</v>
      </c>
    </row>
    <row r="130" spans="1:3" x14ac:dyDescent="0.25">
      <c r="A130" s="3">
        <v>42338</v>
      </c>
      <c r="B130" s="2">
        <v>5.98</v>
      </c>
      <c r="C130" s="6">
        <f>AVERAGE(B130:B132)</f>
        <v>6.5033333333333339</v>
      </c>
    </row>
    <row r="131" spans="1:3" x14ac:dyDescent="0.25">
      <c r="A131" s="3">
        <v>42308</v>
      </c>
      <c r="B131" s="2">
        <v>6.75</v>
      </c>
    </row>
    <row r="132" spans="1:3" x14ac:dyDescent="0.25">
      <c r="A132" s="3">
        <v>42277</v>
      </c>
      <c r="B132" s="2">
        <v>6.78</v>
      </c>
    </row>
    <row r="133" spans="1:3" x14ac:dyDescent="0.25">
      <c r="A133" s="3">
        <v>42247</v>
      </c>
      <c r="B133" s="2">
        <v>6.08</v>
      </c>
      <c r="C133" s="6">
        <f>AVERAGE(B133:B135)</f>
        <v>6.0900000000000007</v>
      </c>
    </row>
    <row r="134" spans="1:3" x14ac:dyDescent="0.25">
      <c r="A134" s="3">
        <v>42216</v>
      </c>
      <c r="B134" s="2">
        <v>5.86</v>
      </c>
    </row>
    <row r="135" spans="1:3" x14ac:dyDescent="0.25">
      <c r="A135" s="3">
        <v>42185</v>
      </c>
      <c r="B135" s="2">
        <v>6.33</v>
      </c>
    </row>
    <row r="136" spans="1:3" x14ac:dyDescent="0.25">
      <c r="A136" s="3">
        <v>42155</v>
      </c>
      <c r="B136" s="2">
        <v>6.92</v>
      </c>
      <c r="C136" s="6">
        <f>AVERAGE(B136:B138)</f>
        <v>6.69</v>
      </c>
    </row>
    <row r="137" spans="1:3" x14ac:dyDescent="0.25">
      <c r="A137" s="3">
        <v>42124</v>
      </c>
      <c r="B137" s="2">
        <v>6.7</v>
      </c>
    </row>
    <row r="138" spans="1:3" x14ac:dyDescent="0.25">
      <c r="A138" s="3">
        <v>42094</v>
      </c>
      <c r="B138" s="2">
        <v>6.45</v>
      </c>
    </row>
    <row r="139" spans="1:3" x14ac:dyDescent="0.25">
      <c r="A139" s="3">
        <v>42063</v>
      </c>
      <c r="B139" s="2">
        <v>6.9</v>
      </c>
      <c r="C139" s="6">
        <f>AVERAGE(B139:B141)</f>
        <v>6.2433333333333332</v>
      </c>
    </row>
    <row r="140" spans="1:3" x14ac:dyDescent="0.25">
      <c r="A140" s="3">
        <v>42035</v>
      </c>
      <c r="B140" s="2">
        <v>5.7</v>
      </c>
    </row>
    <row r="141" spans="1:3" x14ac:dyDescent="0.25">
      <c r="A141" s="3">
        <v>42004</v>
      </c>
      <c r="B141" s="2">
        <v>6.13</v>
      </c>
    </row>
    <row r="142" spans="1:3" x14ac:dyDescent="0.25">
      <c r="A142" s="3">
        <v>41973</v>
      </c>
      <c r="B142" s="2">
        <v>5.67</v>
      </c>
      <c r="C142" s="6">
        <f>AVERAGE(B142:B144)</f>
        <v>5.19</v>
      </c>
    </row>
    <row r="143" spans="1:3" x14ac:dyDescent="0.25">
      <c r="A143" s="3">
        <v>41943</v>
      </c>
      <c r="B143" s="2">
        <v>4.87</v>
      </c>
    </row>
    <row r="144" spans="1:3" x14ac:dyDescent="0.25">
      <c r="A144" s="3">
        <v>41912</v>
      </c>
      <c r="B144" s="2">
        <v>5.03</v>
      </c>
    </row>
    <row r="145" spans="1:3" x14ac:dyDescent="0.25">
      <c r="A145" s="3">
        <v>41882</v>
      </c>
      <c r="B145" s="2">
        <v>5.75</v>
      </c>
      <c r="C145" s="6">
        <f>AVERAGE(B145:B147)</f>
        <v>5.5733333333333333</v>
      </c>
    </row>
    <row r="146" spans="1:3" x14ac:dyDescent="0.25">
      <c r="A146" s="3">
        <v>41851</v>
      </c>
      <c r="B146" s="2">
        <v>5.59</v>
      </c>
    </row>
    <row r="147" spans="1:3" x14ac:dyDescent="0.25">
      <c r="A147" s="3">
        <v>41820</v>
      </c>
      <c r="B147" s="2">
        <v>5.38</v>
      </c>
    </row>
    <row r="148" spans="1:3" x14ac:dyDescent="0.25">
      <c r="A148" s="3">
        <v>41790</v>
      </c>
      <c r="B148" s="2">
        <v>5.97</v>
      </c>
      <c r="C148" s="6">
        <f>AVERAGE(B148:B150)</f>
        <v>6.0266666666666664</v>
      </c>
    </row>
    <row r="149" spans="1:3" x14ac:dyDescent="0.25">
      <c r="A149" s="3">
        <v>41759</v>
      </c>
      <c r="B149" s="2">
        <v>6.18</v>
      </c>
    </row>
    <row r="150" spans="1:3" x14ac:dyDescent="0.25">
      <c r="A150" s="3">
        <v>41729</v>
      </c>
      <c r="B150" s="2">
        <v>5.93</v>
      </c>
    </row>
    <row r="151" spans="1:3" x14ac:dyDescent="0.25">
      <c r="A151" s="3">
        <v>41698</v>
      </c>
      <c r="B151" s="2">
        <v>5.82</v>
      </c>
      <c r="C151" s="6">
        <f>AVERAGE(B151:B153)</f>
        <v>5.8866666666666667</v>
      </c>
    </row>
    <row r="152" spans="1:3" x14ac:dyDescent="0.25">
      <c r="A152" s="3">
        <v>41670</v>
      </c>
      <c r="B152" s="2">
        <v>6.05</v>
      </c>
    </row>
    <row r="153" spans="1:3" x14ac:dyDescent="0.25">
      <c r="A153" s="3">
        <v>41639</v>
      </c>
      <c r="B153" s="2">
        <v>5.79</v>
      </c>
    </row>
    <row r="154" spans="1:3" x14ac:dyDescent="0.25">
      <c r="A154" s="3">
        <v>41608</v>
      </c>
      <c r="B154" s="2">
        <v>5.99</v>
      </c>
      <c r="C154" s="6">
        <f>AVERAGE(B154:B156)</f>
        <v>5.9933333333333332</v>
      </c>
    </row>
    <row r="155" spans="1:3" x14ac:dyDescent="0.25">
      <c r="A155" s="3">
        <v>41578</v>
      </c>
      <c r="B155" s="2">
        <v>6.29</v>
      </c>
    </row>
    <row r="156" spans="1:3" x14ac:dyDescent="0.25">
      <c r="A156" s="3">
        <v>41547</v>
      </c>
      <c r="B156" s="2">
        <v>5.7</v>
      </c>
    </row>
    <row r="157" spans="1:3" x14ac:dyDescent="0.25">
      <c r="A157" s="3">
        <v>41517</v>
      </c>
      <c r="B157" s="2">
        <v>5.39</v>
      </c>
      <c r="C157" s="6">
        <f>AVERAGE(B157:B159)</f>
        <v>5.4933333333333332</v>
      </c>
    </row>
    <row r="158" spans="1:3" x14ac:dyDescent="0.25">
      <c r="A158" s="3">
        <v>41486</v>
      </c>
      <c r="B158" s="2">
        <v>5.82</v>
      </c>
    </row>
    <row r="159" spans="1:3" x14ac:dyDescent="0.25">
      <c r="A159" s="3">
        <v>41455</v>
      </c>
      <c r="B159" s="2">
        <v>5.27</v>
      </c>
    </row>
    <row r="160" spans="1:3" x14ac:dyDescent="0.25">
      <c r="A160" s="3">
        <v>41425</v>
      </c>
      <c r="B160" s="2">
        <v>4.58</v>
      </c>
      <c r="C160" s="6">
        <f>AVERAGE(B160:B162)</f>
        <v>4.1733333333333329</v>
      </c>
    </row>
    <row r="161" spans="1:3" x14ac:dyDescent="0.25">
      <c r="A161" s="3">
        <v>41394</v>
      </c>
      <c r="B161" s="2">
        <v>4.08</v>
      </c>
    </row>
    <row r="162" spans="1:3" x14ac:dyDescent="0.25">
      <c r="A162" s="3">
        <v>41364</v>
      </c>
      <c r="B162" s="2">
        <v>3.86</v>
      </c>
    </row>
    <row r="163" spans="1:3" x14ac:dyDescent="0.25">
      <c r="A163" s="3">
        <v>41333</v>
      </c>
      <c r="B163" s="2">
        <v>3.74</v>
      </c>
      <c r="C163" s="6">
        <f>AVERAGE(B163:B165)</f>
        <v>3.3666666666666671</v>
      </c>
    </row>
    <row r="164" spans="1:3" x14ac:dyDescent="0.25">
      <c r="A164" s="3">
        <v>41305</v>
      </c>
      <c r="B164" s="2">
        <v>2.9</v>
      </c>
    </row>
    <row r="165" spans="1:3" x14ac:dyDescent="0.25">
      <c r="A165" s="3">
        <v>41274</v>
      </c>
      <c r="B165" s="2">
        <v>3.46</v>
      </c>
    </row>
    <row r="166" spans="1:3" x14ac:dyDescent="0.25">
      <c r="A166" s="3">
        <v>41243</v>
      </c>
      <c r="B166" s="2">
        <v>3.5</v>
      </c>
      <c r="C166" s="6">
        <f>AVERAGE(B166:B168)</f>
        <v>3.4833333333333329</v>
      </c>
    </row>
    <row r="167" spans="1:3" x14ac:dyDescent="0.25">
      <c r="A167" s="3">
        <v>41213</v>
      </c>
      <c r="B167" s="2">
        <v>3.24</v>
      </c>
    </row>
    <row r="168" spans="1:3" x14ac:dyDescent="0.25">
      <c r="A168" s="3">
        <v>41182</v>
      </c>
      <c r="B168" s="2">
        <v>3.71</v>
      </c>
    </row>
    <row r="169" spans="1:3" x14ac:dyDescent="0.25">
      <c r="A169" s="3">
        <v>41152</v>
      </c>
      <c r="B169" s="2">
        <v>4.3099999999999996</v>
      </c>
      <c r="C169" s="6">
        <f>AVERAGE(B169:B171)</f>
        <v>3.9800000000000004</v>
      </c>
    </row>
    <row r="170" spans="1:3" x14ac:dyDescent="0.25">
      <c r="A170" s="3">
        <v>41121</v>
      </c>
      <c r="B170" s="2">
        <v>3.43</v>
      </c>
    </row>
    <row r="171" spans="1:3" x14ac:dyDescent="0.25">
      <c r="A171" s="3">
        <v>41090</v>
      </c>
      <c r="B171" s="2">
        <v>4.2</v>
      </c>
    </row>
    <row r="172" spans="1:3" x14ac:dyDescent="0.25">
      <c r="A172" s="3">
        <v>41060</v>
      </c>
      <c r="B172" s="2">
        <v>4.6399999999999997</v>
      </c>
      <c r="C172" s="6">
        <f>AVERAGE(B172:B174)</f>
        <v>4.7166666666666659</v>
      </c>
    </row>
    <row r="173" spans="1:3" x14ac:dyDescent="0.25">
      <c r="A173" s="3">
        <v>41029</v>
      </c>
      <c r="B173" s="2">
        <v>4.38</v>
      </c>
    </row>
    <row r="174" spans="1:3" x14ac:dyDescent="0.25">
      <c r="A174" s="3">
        <v>40999</v>
      </c>
      <c r="B174" s="2">
        <v>5.13</v>
      </c>
    </row>
    <row r="175" spans="1:3" x14ac:dyDescent="0.25">
      <c r="A175" s="3">
        <v>40968</v>
      </c>
      <c r="B175" s="2">
        <v>4.9400000000000004</v>
      </c>
      <c r="C175" s="6">
        <f>AVERAGE(B175:B177)</f>
        <v>4.97</v>
      </c>
    </row>
    <row r="176" spans="1:3" x14ac:dyDescent="0.25">
      <c r="A176" s="3">
        <v>40939</v>
      </c>
      <c r="B176" s="2">
        <v>5.13</v>
      </c>
    </row>
    <row r="177" spans="1:3" x14ac:dyDescent="0.25">
      <c r="A177" s="3">
        <v>40908</v>
      </c>
      <c r="B177" s="2">
        <v>4.84</v>
      </c>
    </row>
    <row r="178" spans="1:3" x14ac:dyDescent="0.25">
      <c r="A178" s="3">
        <v>40877</v>
      </c>
      <c r="B178" s="2">
        <v>5.18</v>
      </c>
      <c r="C178" s="6">
        <f>AVERAGE(B178:B180)</f>
        <v>5.3966666666666674</v>
      </c>
    </row>
    <row r="179" spans="1:3" x14ac:dyDescent="0.25">
      <c r="A179" s="3">
        <v>40847</v>
      </c>
      <c r="B179" s="2">
        <v>5.28</v>
      </c>
    </row>
    <row r="180" spans="1:3" x14ac:dyDescent="0.25">
      <c r="A180" s="3">
        <v>40816</v>
      </c>
      <c r="B180" s="2">
        <v>5.73</v>
      </c>
    </row>
    <row r="181" spans="1:3" x14ac:dyDescent="0.25">
      <c r="A181" s="3">
        <v>40786</v>
      </c>
      <c r="B181" s="2">
        <v>5.76</v>
      </c>
      <c r="C181" s="6">
        <f>AVERAGE(B181:B183)</f>
        <v>5.996666666666667</v>
      </c>
    </row>
    <row r="182" spans="1:3" x14ac:dyDescent="0.25">
      <c r="A182" s="3">
        <v>40755</v>
      </c>
      <c r="B182" s="2">
        <v>6.29</v>
      </c>
    </row>
    <row r="183" spans="1:3" x14ac:dyDescent="0.25">
      <c r="A183" s="3">
        <v>40724</v>
      </c>
      <c r="B183" s="2">
        <v>5.94</v>
      </c>
    </row>
    <row r="184" spans="1:3" x14ac:dyDescent="0.25">
      <c r="A184" s="3">
        <v>40694</v>
      </c>
      <c r="B184" s="2">
        <v>5.77</v>
      </c>
      <c r="C184" s="6">
        <f>AVERAGE(B184:B186)</f>
        <v>6.0133333333333328</v>
      </c>
    </row>
    <row r="185" spans="1:3" x14ac:dyDescent="0.25">
      <c r="A185" s="3">
        <v>40663</v>
      </c>
      <c r="B185" s="2">
        <v>6.3</v>
      </c>
    </row>
    <row r="186" spans="1:3" x14ac:dyDescent="0.25">
      <c r="A186" s="3">
        <v>40633</v>
      </c>
      <c r="B186" s="2">
        <v>5.97</v>
      </c>
    </row>
    <row r="187" spans="1:3" x14ac:dyDescent="0.25">
      <c r="A187" s="3">
        <v>40602</v>
      </c>
      <c r="B187" s="2">
        <v>5.9</v>
      </c>
      <c r="C187" s="6">
        <f>AVERAGE(B187:B189)</f>
        <v>5.94</v>
      </c>
    </row>
    <row r="188" spans="1:3" x14ac:dyDescent="0.25">
      <c r="A188" s="3">
        <v>40574</v>
      </c>
      <c r="B188" s="2">
        <v>6.47</v>
      </c>
    </row>
    <row r="189" spans="1:3" x14ac:dyDescent="0.25">
      <c r="A189" s="3">
        <v>40543</v>
      </c>
      <c r="B189" s="2">
        <v>5.45</v>
      </c>
    </row>
    <row r="190" spans="1:3" x14ac:dyDescent="0.25">
      <c r="A190" s="3">
        <v>40512</v>
      </c>
      <c r="B190" s="2">
        <v>5.21</v>
      </c>
      <c r="C190" s="6">
        <f>AVERAGE(B190:B192)</f>
        <v>4.9633333333333338</v>
      </c>
    </row>
    <row r="191" spans="1:3" x14ac:dyDescent="0.25">
      <c r="A191" s="3">
        <v>40482</v>
      </c>
      <c r="B191" s="2">
        <v>4.95</v>
      </c>
    </row>
    <row r="192" spans="1:3" x14ac:dyDescent="0.25">
      <c r="A192" s="3">
        <v>40451</v>
      </c>
      <c r="B192" s="2">
        <v>4.7300000000000004</v>
      </c>
      <c r="C192" s="6"/>
    </row>
    <row r="193" spans="1:3" x14ac:dyDescent="0.25">
      <c r="A193" s="3">
        <v>40421</v>
      </c>
      <c r="B193" s="2">
        <v>4.7300000000000004</v>
      </c>
      <c r="C193" s="6">
        <f>AVERAGE(B193:B195)</f>
        <v>4.2300000000000004</v>
      </c>
    </row>
    <row r="194" spans="1:3" x14ac:dyDescent="0.25">
      <c r="A194" s="3">
        <v>40390</v>
      </c>
      <c r="B194" s="2">
        <v>4.1399999999999997</v>
      </c>
    </row>
    <row r="195" spans="1:3" x14ac:dyDescent="0.25">
      <c r="A195" s="3">
        <v>40359</v>
      </c>
      <c r="B195" s="2">
        <v>3.82</v>
      </c>
    </row>
    <row r="196" spans="1:3" x14ac:dyDescent="0.25">
      <c r="A196" s="3">
        <v>40329</v>
      </c>
      <c r="B196" s="2">
        <v>3.27</v>
      </c>
      <c r="C196" s="6">
        <f>AVERAGE(B196:B198)</f>
        <v>3.6433333333333331</v>
      </c>
    </row>
    <row r="197" spans="1:3" x14ac:dyDescent="0.25">
      <c r="A197" s="3">
        <v>40298</v>
      </c>
      <c r="B197" s="2">
        <v>3.8</v>
      </c>
    </row>
    <row r="198" spans="1:3" x14ac:dyDescent="0.25">
      <c r="A198" s="3">
        <v>40268</v>
      </c>
      <c r="B198" s="2">
        <v>3.86</v>
      </c>
    </row>
    <row r="199" spans="1:3" x14ac:dyDescent="0.25">
      <c r="A199" s="3">
        <v>40237</v>
      </c>
      <c r="B199" s="2">
        <v>4.7300000000000004</v>
      </c>
      <c r="C199" s="6">
        <f>AVERAGE(B199:B201)</f>
        <v>5.1066666666666665</v>
      </c>
    </row>
    <row r="200" spans="1:3" x14ac:dyDescent="0.25">
      <c r="A200" s="3">
        <v>40209</v>
      </c>
      <c r="B200" s="2">
        <v>4.83</v>
      </c>
    </row>
    <row r="201" spans="1:3" x14ac:dyDescent="0.25">
      <c r="A201" s="3">
        <v>40178</v>
      </c>
      <c r="B201" s="2">
        <v>5.76</v>
      </c>
    </row>
    <row r="202" spans="1:3" x14ac:dyDescent="0.25">
      <c r="A202" s="3">
        <v>40147</v>
      </c>
      <c r="B202" s="2">
        <v>6.36</v>
      </c>
      <c r="C202" s="6">
        <f>AVERAGE(B202:B204)</f>
        <v>7.0133333333333328</v>
      </c>
    </row>
    <row r="203" spans="1:3" x14ac:dyDescent="0.25">
      <c r="A203" s="3">
        <v>40117</v>
      </c>
      <c r="B203" s="2">
        <v>6.87</v>
      </c>
    </row>
    <row r="204" spans="1:3" x14ac:dyDescent="0.25">
      <c r="A204" s="3">
        <v>40086</v>
      </c>
      <c r="B204" s="2">
        <v>7.81</v>
      </c>
    </row>
    <row r="205" spans="1:3" x14ac:dyDescent="0.25">
      <c r="A205" s="3">
        <v>40056</v>
      </c>
      <c r="B205" s="2">
        <v>8.15</v>
      </c>
      <c r="C205" s="6">
        <f>AVERAGE(B205:B207)</f>
        <v>8.4233333333333338</v>
      </c>
    </row>
    <row r="206" spans="1:3" x14ac:dyDescent="0.25">
      <c r="A206" s="3">
        <v>40025</v>
      </c>
      <c r="B206" s="2">
        <v>8.52</v>
      </c>
    </row>
    <row r="207" spans="1:3" x14ac:dyDescent="0.25">
      <c r="A207" s="3">
        <v>39994</v>
      </c>
      <c r="B207" s="2">
        <v>8.6</v>
      </c>
    </row>
    <row r="208" spans="1:3" x14ac:dyDescent="0.25">
      <c r="A208" s="3">
        <v>39964</v>
      </c>
      <c r="B208" s="2">
        <v>7.91</v>
      </c>
      <c r="C208" s="6">
        <f>AVERAGE(B208:B210)</f>
        <v>7.3433333333333337</v>
      </c>
    </row>
    <row r="209" spans="1:3" x14ac:dyDescent="0.25">
      <c r="A209" s="3">
        <v>39933</v>
      </c>
      <c r="B209" s="2">
        <v>7.09</v>
      </c>
    </row>
    <row r="210" spans="1:3" x14ac:dyDescent="0.25">
      <c r="A210" s="3">
        <v>39903</v>
      </c>
      <c r="B210" s="2">
        <v>7.03</v>
      </c>
    </row>
    <row r="211" spans="1:3" x14ac:dyDescent="0.25">
      <c r="A211" s="3">
        <v>39872</v>
      </c>
      <c r="B211" s="2">
        <v>6.67</v>
      </c>
      <c r="C211" s="6">
        <f>AVERAGE(B211:B213)</f>
        <v>6.833333333333333</v>
      </c>
    </row>
    <row r="212" spans="1:3" x14ac:dyDescent="0.25">
      <c r="A212" s="3">
        <v>39844</v>
      </c>
      <c r="B212" s="2">
        <v>6.6</v>
      </c>
    </row>
    <row r="213" spans="1:3" x14ac:dyDescent="0.25">
      <c r="A213" s="3">
        <v>39813</v>
      </c>
      <c r="B213" s="2">
        <v>7.23</v>
      </c>
    </row>
    <row r="214" spans="1:3" x14ac:dyDescent="0.25">
      <c r="A214" s="3">
        <v>39782</v>
      </c>
      <c r="B214" s="2">
        <v>5.73</v>
      </c>
      <c r="C214" s="6">
        <f>AVERAGE(B214:B216)</f>
        <v>4.5633333333333335</v>
      </c>
    </row>
    <row r="215" spans="1:3" x14ac:dyDescent="0.25">
      <c r="A215" s="3">
        <v>39752</v>
      </c>
      <c r="B215" s="2">
        <v>4.75</v>
      </c>
    </row>
    <row r="216" spans="1:3" x14ac:dyDescent="0.25">
      <c r="A216" s="3">
        <v>39721</v>
      </c>
      <c r="B216" s="2">
        <v>3.21</v>
      </c>
    </row>
    <row r="217" spans="1:3" x14ac:dyDescent="0.25">
      <c r="A217" s="3">
        <v>39691</v>
      </c>
      <c r="B217" s="2">
        <v>2.2999999999999998</v>
      </c>
      <c r="C217" s="6">
        <f>AVERAGE(B217:B219)</f>
        <v>1.9266666666666665</v>
      </c>
    </row>
    <row r="218" spans="1:3" x14ac:dyDescent="0.25">
      <c r="A218" s="3">
        <v>39660</v>
      </c>
      <c r="B218" s="2">
        <v>2.09</v>
      </c>
    </row>
    <row r="219" spans="1:3" x14ac:dyDescent="0.25">
      <c r="A219" s="3">
        <v>39629</v>
      </c>
      <c r="B219" s="2">
        <v>1.39</v>
      </c>
    </row>
    <row r="220" spans="1:3" x14ac:dyDescent="0.25">
      <c r="A220" s="3">
        <v>39599</v>
      </c>
      <c r="B220" s="2">
        <v>2.4500000000000002</v>
      </c>
      <c r="C220" s="6">
        <f>AVERAGE(B220:B222)</f>
        <v>2.2633333333333336</v>
      </c>
    </row>
    <row r="221" spans="1:3" x14ac:dyDescent="0.25">
      <c r="A221" s="3">
        <v>39568</v>
      </c>
      <c r="B221" s="2">
        <v>2.2400000000000002</v>
      </c>
    </row>
    <row r="222" spans="1:3" x14ac:dyDescent="0.25">
      <c r="A222" s="3">
        <v>39538</v>
      </c>
      <c r="B222" s="2">
        <v>2.1</v>
      </c>
    </row>
    <row r="223" spans="1:3" x14ac:dyDescent="0.25">
      <c r="A223" s="3">
        <v>39507</v>
      </c>
      <c r="B223" s="2">
        <v>1.36</v>
      </c>
      <c r="C223" s="6">
        <f>AVERAGE(B223:B225)</f>
        <v>1.4233333333333331</v>
      </c>
    </row>
    <row r="224" spans="1:3" x14ac:dyDescent="0.25">
      <c r="A224" s="3">
        <v>39478</v>
      </c>
      <c r="B224" s="2">
        <v>2.0699999999999998</v>
      </c>
    </row>
    <row r="225" spans="1:3" x14ac:dyDescent="0.25">
      <c r="A225" s="3">
        <v>39447</v>
      </c>
      <c r="B225" s="2">
        <v>0.84</v>
      </c>
    </row>
    <row r="226" spans="1:3" x14ac:dyDescent="0.25">
      <c r="A226" s="3">
        <v>39416</v>
      </c>
      <c r="B226" s="2">
        <v>2.06</v>
      </c>
      <c r="C226" s="6">
        <f>AVERAGE(B226:B228)</f>
        <v>2.8699999999999997</v>
      </c>
    </row>
    <row r="227" spans="1:3" x14ac:dyDescent="0.25">
      <c r="A227" s="3">
        <v>39386</v>
      </c>
      <c r="B227" s="2">
        <v>3.32</v>
      </c>
    </row>
    <row r="228" spans="1:3" x14ac:dyDescent="0.25">
      <c r="A228" s="3">
        <v>39355</v>
      </c>
      <c r="B228" s="2">
        <v>3.23</v>
      </c>
      <c r="C228" s="6"/>
    </row>
    <row r="229" spans="1:3" x14ac:dyDescent="0.25">
      <c r="A229" s="3">
        <v>39325</v>
      </c>
      <c r="B229" s="2">
        <v>3.97</v>
      </c>
      <c r="C229" s="6">
        <f>AVERAGE(B229:B231)</f>
        <v>4.3099999999999996</v>
      </c>
    </row>
    <row r="230" spans="1:3" x14ac:dyDescent="0.25">
      <c r="A230" s="3">
        <v>39294</v>
      </c>
      <c r="B230" s="2">
        <v>4.49</v>
      </c>
    </row>
    <row r="231" spans="1:3" x14ac:dyDescent="0.25">
      <c r="A231" s="3">
        <v>39263</v>
      </c>
      <c r="B231" s="2">
        <v>4.47</v>
      </c>
    </row>
    <row r="232" spans="1:3" x14ac:dyDescent="0.25">
      <c r="A232" s="3">
        <v>39233</v>
      </c>
      <c r="B232" s="2">
        <v>4.54</v>
      </c>
      <c r="C232" s="6">
        <f>AVERAGE(B232:B234)</f>
        <v>5.0733333333333341</v>
      </c>
    </row>
    <row r="233" spans="1:3" x14ac:dyDescent="0.25">
      <c r="A233" s="3">
        <v>39202</v>
      </c>
      <c r="B233" s="2">
        <v>4.99</v>
      </c>
    </row>
    <row r="234" spans="1:3" x14ac:dyDescent="0.25">
      <c r="A234" s="3">
        <v>39172</v>
      </c>
      <c r="B234" s="2">
        <v>5.69</v>
      </c>
    </row>
    <row r="235" spans="1:3" x14ac:dyDescent="0.25">
      <c r="A235" s="3">
        <v>39141</v>
      </c>
      <c r="B235" s="2">
        <v>5.86</v>
      </c>
      <c r="C235" s="6">
        <f>AVERAGE(B235:B237)</f>
        <v>5.0900000000000007</v>
      </c>
    </row>
    <row r="236" spans="1:3" x14ac:dyDescent="0.25">
      <c r="A236" s="3">
        <v>39113</v>
      </c>
      <c r="B236" s="2">
        <v>4.26</v>
      </c>
    </row>
    <row r="237" spans="1:3" x14ac:dyDescent="0.25">
      <c r="A237" s="3">
        <v>39082</v>
      </c>
      <c r="B237" s="2">
        <v>5.15</v>
      </c>
    </row>
    <row r="238" spans="1:3" x14ac:dyDescent="0.25">
      <c r="A238" s="3">
        <v>39051</v>
      </c>
      <c r="B238" s="2">
        <v>5.77</v>
      </c>
      <c r="C238" s="6">
        <f>AVERAGE(B238:B240)</f>
        <v>5.836666666666666</v>
      </c>
    </row>
    <row r="239" spans="1:3" x14ac:dyDescent="0.25">
      <c r="A239" s="3">
        <v>39021</v>
      </c>
      <c r="B239" s="2">
        <v>5.91</v>
      </c>
    </row>
    <row r="240" spans="1:3" x14ac:dyDescent="0.25">
      <c r="A240" s="3">
        <v>38990</v>
      </c>
      <c r="B240" s="2">
        <v>5.83</v>
      </c>
    </row>
    <row r="241" spans="1:3" x14ac:dyDescent="0.25">
      <c r="A241" s="3">
        <v>38960</v>
      </c>
      <c r="B241" s="2">
        <v>5.67</v>
      </c>
      <c r="C241" s="6">
        <f>AVERAGE(B241:B243)</f>
        <v>5.4533333333333331</v>
      </c>
    </row>
    <row r="242" spans="1:3" x14ac:dyDescent="0.25">
      <c r="A242" s="3">
        <v>38929</v>
      </c>
      <c r="B242" s="2">
        <v>5.05</v>
      </c>
    </row>
    <row r="243" spans="1:3" x14ac:dyDescent="0.25">
      <c r="A243" s="3">
        <v>38898</v>
      </c>
      <c r="B243" s="2">
        <v>5.64</v>
      </c>
    </row>
    <row r="244" spans="1:3" x14ac:dyDescent="0.25">
      <c r="A244" s="3">
        <v>38868</v>
      </c>
      <c r="B244" s="2">
        <v>7.09</v>
      </c>
      <c r="C244" s="6">
        <f>AVERAGE(B244:B246)</f>
        <v>6.6966666666666663</v>
      </c>
    </row>
    <row r="245" spans="1:3" x14ac:dyDescent="0.25">
      <c r="A245" s="3">
        <v>38837</v>
      </c>
      <c r="B245" s="2">
        <v>6.86</v>
      </c>
    </row>
    <row r="246" spans="1:3" x14ac:dyDescent="0.25">
      <c r="A246" s="3">
        <v>38807</v>
      </c>
      <c r="B246" s="2">
        <v>6.14</v>
      </c>
    </row>
    <row r="247" spans="1:3" x14ac:dyDescent="0.25">
      <c r="A247" s="3">
        <v>38776</v>
      </c>
      <c r="B247" s="2">
        <v>6.48</v>
      </c>
      <c r="C247" s="6">
        <f>AVERAGE(B247:B249)</f>
        <v>6.873333333333334</v>
      </c>
    </row>
    <row r="248" spans="1:3" x14ac:dyDescent="0.25">
      <c r="A248" s="3">
        <v>38748</v>
      </c>
      <c r="B248" s="2">
        <v>7.51</v>
      </c>
    </row>
    <row r="249" spans="1:3" x14ac:dyDescent="0.25">
      <c r="A249" s="3">
        <v>38717</v>
      </c>
      <c r="B249" s="2">
        <v>6.63</v>
      </c>
    </row>
    <row r="250" spans="1:3" x14ac:dyDescent="0.25">
      <c r="A250" s="3">
        <v>38686</v>
      </c>
      <c r="B250" s="2">
        <v>6.45</v>
      </c>
      <c r="C250" s="6">
        <f>AVERAGE(B250:B252)</f>
        <v>6.2866666666666662</v>
      </c>
    </row>
    <row r="251" spans="1:3" x14ac:dyDescent="0.25">
      <c r="A251" s="3">
        <v>38656</v>
      </c>
      <c r="B251" s="2">
        <v>5.93</v>
      </c>
    </row>
    <row r="252" spans="1:3" x14ac:dyDescent="0.25">
      <c r="A252" s="3">
        <v>38625</v>
      </c>
      <c r="B252" s="2">
        <v>6.48</v>
      </c>
    </row>
    <row r="253" spans="1:3" x14ac:dyDescent="0.25">
      <c r="A253" s="3">
        <v>38595</v>
      </c>
      <c r="B253" s="2">
        <v>6.19</v>
      </c>
      <c r="C253" s="6">
        <f>AVERAGE(B253:B255)</f>
        <v>6.4633333333333338</v>
      </c>
    </row>
    <row r="254" spans="1:3" x14ac:dyDescent="0.25">
      <c r="A254" s="3">
        <v>38564</v>
      </c>
      <c r="B254" s="2">
        <v>6.52</v>
      </c>
    </row>
    <row r="255" spans="1:3" x14ac:dyDescent="0.25">
      <c r="A255" s="3">
        <v>38533</v>
      </c>
      <c r="B255" s="2">
        <v>6.68</v>
      </c>
    </row>
    <row r="256" spans="1:3" x14ac:dyDescent="0.25">
      <c r="A256" s="3">
        <v>38503</v>
      </c>
      <c r="B256" s="2">
        <v>5.65</v>
      </c>
      <c r="C256" s="6">
        <f>AVERAGE(B256:B258)</f>
        <v>5.5466666666666669</v>
      </c>
    </row>
    <row r="257" spans="1:3" x14ac:dyDescent="0.25">
      <c r="A257" s="3">
        <v>38472</v>
      </c>
      <c r="B257" s="2">
        <v>5.47</v>
      </c>
    </row>
    <row r="258" spans="1:3" x14ac:dyDescent="0.25">
      <c r="A258" s="3">
        <v>38442</v>
      </c>
      <c r="B258" s="2">
        <v>5.52</v>
      </c>
    </row>
    <row r="259" spans="1:3" x14ac:dyDescent="0.25">
      <c r="A259" s="3">
        <v>38411</v>
      </c>
      <c r="B259" s="2">
        <v>6.01</v>
      </c>
      <c r="C259" s="6">
        <f>AVERAGE(B259:B261)</f>
        <v>6.3466666666666667</v>
      </c>
    </row>
    <row r="260" spans="1:3" x14ac:dyDescent="0.25">
      <c r="A260" s="3">
        <v>38383</v>
      </c>
      <c r="B260" s="2">
        <v>5.84</v>
      </c>
    </row>
    <row r="261" spans="1:3" x14ac:dyDescent="0.25">
      <c r="A261" s="3">
        <v>38352</v>
      </c>
      <c r="B261" s="2">
        <v>7.19</v>
      </c>
    </row>
    <row r="262" spans="1:3" x14ac:dyDescent="0.25">
      <c r="A262" s="3">
        <v>38321</v>
      </c>
      <c r="B262" s="2">
        <v>6.8</v>
      </c>
      <c r="C262" s="6">
        <f>AVERAGE(B262:B264)</f>
        <v>6.8066666666666658</v>
      </c>
    </row>
    <row r="263" spans="1:3" x14ac:dyDescent="0.25">
      <c r="A263" s="3">
        <v>38291</v>
      </c>
      <c r="B263" s="2">
        <v>6.81</v>
      </c>
    </row>
    <row r="264" spans="1:3" x14ac:dyDescent="0.25">
      <c r="A264" s="3">
        <v>38260</v>
      </c>
      <c r="B264" s="2">
        <v>6.81</v>
      </c>
    </row>
    <row r="265" spans="1:3" x14ac:dyDescent="0.25">
      <c r="A265" s="3">
        <v>38230</v>
      </c>
      <c r="B265" s="2">
        <v>6.9</v>
      </c>
      <c r="C265" s="6">
        <f>AVERAGE(B265:B267)</f>
        <v>7.456666666666667</v>
      </c>
    </row>
    <row r="266" spans="1:3" x14ac:dyDescent="0.25">
      <c r="A266" s="3">
        <v>38199</v>
      </c>
      <c r="B266" s="2">
        <v>7.59</v>
      </c>
    </row>
    <row r="267" spans="1:3" x14ac:dyDescent="0.25">
      <c r="A267" s="3">
        <v>38168</v>
      </c>
      <c r="B267" s="2">
        <v>7.88</v>
      </c>
    </row>
    <row r="268" spans="1:3" x14ac:dyDescent="0.25">
      <c r="A268" s="3">
        <v>38138</v>
      </c>
      <c r="B268" s="2">
        <v>7.72</v>
      </c>
      <c r="C268" s="6">
        <f>AVERAGE(B268:B270)</f>
        <v>8.1499999999999986</v>
      </c>
    </row>
    <row r="269" spans="1:3" x14ac:dyDescent="0.25">
      <c r="A269" s="3">
        <v>38107</v>
      </c>
      <c r="B269" s="2">
        <v>8.5399999999999991</v>
      </c>
    </row>
    <row r="270" spans="1:3" x14ac:dyDescent="0.25">
      <c r="A270" s="3">
        <v>38077</v>
      </c>
      <c r="B270" s="2">
        <v>8.19</v>
      </c>
    </row>
    <row r="271" spans="1:3" x14ac:dyDescent="0.25">
      <c r="A271" s="3">
        <v>38046</v>
      </c>
      <c r="B271" s="2">
        <v>7.07</v>
      </c>
      <c r="C271" s="6">
        <f>AVERAGE(B271:B273)</f>
        <v>6.2166666666666659</v>
      </c>
    </row>
    <row r="272" spans="1:3" x14ac:dyDescent="0.25">
      <c r="A272" s="3">
        <v>38017</v>
      </c>
      <c r="B272" s="2">
        <v>5.9</v>
      </c>
    </row>
    <row r="273" spans="1:3" x14ac:dyDescent="0.25">
      <c r="A273" s="3">
        <v>37986</v>
      </c>
      <c r="B273" s="2">
        <v>5.68</v>
      </c>
    </row>
    <row r="274" spans="1:3" x14ac:dyDescent="0.25">
      <c r="A274" s="3">
        <v>37955</v>
      </c>
      <c r="B274" s="2">
        <v>5.29</v>
      </c>
      <c r="C274" s="6">
        <f>AVERAGE(B274:B276)</f>
        <v>5.32</v>
      </c>
    </row>
    <row r="275" spans="1:3" x14ac:dyDescent="0.25">
      <c r="A275" s="3">
        <v>37925</v>
      </c>
      <c r="B275" s="2">
        <v>5.53</v>
      </c>
    </row>
    <row r="276" spans="1:3" x14ac:dyDescent="0.25">
      <c r="A276" s="3">
        <v>37894</v>
      </c>
      <c r="B276" s="2">
        <v>5.14</v>
      </c>
      <c r="C276" s="6"/>
    </row>
    <row r="277" spans="1:3" x14ac:dyDescent="0.25">
      <c r="A277" s="3">
        <v>37864</v>
      </c>
      <c r="B277" s="2">
        <v>4.51</v>
      </c>
      <c r="C277" s="6">
        <f>AVERAGE(B277:B279)</f>
        <v>3.6566666666666663</v>
      </c>
    </row>
    <row r="278" spans="1:3" x14ac:dyDescent="0.25">
      <c r="A278" s="3">
        <v>37833</v>
      </c>
      <c r="B278" s="2">
        <v>4</v>
      </c>
    </row>
    <row r="279" spans="1:3" x14ac:dyDescent="0.25">
      <c r="A279" s="3">
        <v>37802</v>
      </c>
      <c r="B279" s="2">
        <v>2.46</v>
      </c>
    </row>
    <row r="280" spans="1:3" x14ac:dyDescent="0.25">
      <c r="A280" s="3">
        <v>37772</v>
      </c>
      <c r="B280" s="2">
        <v>3.1</v>
      </c>
      <c r="C280" s="6">
        <f>AVERAGE(B280:B282)</f>
        <v>2.3933333333333331</v>
      </c>
    </row>
    <row r="281" spans="1:3" x14ac:dyDescent="0.25">
      <c r="A281" s="3">
        <v>37741</v>
      </c>
      <c r="B281" s="2">
        <v>2.25</v>
      </c>
    </row>
    <row r="282" spans="1:3" x14ac:dyDescent="0.25">
      <c r="A282" s="3">
        <v>37711</v>
      </c>
      <c r="B282" s="2">
        <v>1.83</v>
      </c>
    </row>
    <row r="283" spans="1:3" x14ac:dyDescent="0.25">
      <c r="A283" s="3">
        <v>37680</v>
      </c>
      <c r="B283" s="2">
        <v>2.33</v>
      </c>
      <c r="C283" s="6">
        <f>AVERAGE(B283:B285)</f>
        <v>2.89</v>
      </c>
    </row>
    <row r="284" spans="1:3" x14ac:dyDescent="0.25">
      <c r="A284" s="3">
        <v>37652</v>
      </c>
      <c r="B284" s="2">
        <v>3.81</v>
      </c>
    </row>
    <row r="285" spans="1:3" x14ac:dyDescent="0.25">
      <c r="A285" s="3">
        <v>37621</v>
      </c>
      <c r="B285" s="2">
        <v>2.5299999999999998</v>
      </c>
    </row>
    <row r="286" spans="1:3" x14ac:dyDescent="0.25">
      <c r="A286" s="3">
        <v>37590</v>
      </c>
      <c r="B286" s="2">
        <v>3.05</v>
      </c>
      <c r="C286" s="6">
        <f>AVERAGE(B286:B288)</f>
        <v>2.5666666666666664</v>
      </c>
    </row>
    <row r="287" spans="1:3" x14ac:dyDescent="0.25">
      <c r="A287" s="3">
        <v>37560</v>
      </c>
      <c r="B287" s="2">
        <v>2.48</v>
      </c>
    </row>
    <row r="288" spans="1:3" x14ac:dyDescent="0.25">
      <c r="A288" s="3">
        <v>37529</v>
      </c>
      <c r="B288" s="2">
        <v>2.17</v>
      </c>
    </row>
    <row r="289" spans="1:3" x14ac:dyDescent="0.25">
      <c r="A289" s="3">
        <v>37499</v>
      </c>
      <c r="B289" s="2">
        <v>2.7</v>
      </c>
      <c r="C289" s="6">
        <f>AVERAGE(B289:B291)</f>
        <v>2.9566666666666666</v>
      </c>
    </row>
    <row r="290" spans="1:3" x14ac:dyDescent="0.25">
      <c r="A290" s="3">
        <v>37468</v>
      </c>
      <c r="B290" s="2">
        <v>2.73</v>
      </c>
    </row>
    <row r="291" spans="1:3" x14ac:dyDescent="0.25">
      <c r="A291" s="3">
        <v>37437</v>
      </c>
      <c r="B291" s="2">
        <v>3.44</v>
      </c>
    </row>
    <row r="292" spans="1:3" x14ac:dyDescent="0.25">
      <c r="A292" s="3">
        <v>37407</v>
      </c>
      <c r="B292" s="2">
        <v>4</v>
      </c>
      <c r="C292" s="6">
        <f>AVERAGE(B292:B294)</f>
        <v>4.2866666666666662</v>
      </c>
    </row>
    <row r="293" spans="1:3" x14ac:dyDescent="0.25">
      <c r="A293" s="3">
        <v>37376</v>
      </c>
      <c r="B293" s="2">
        <v>4.57</v>
      </c>
    </row>
    <row r="294" spans="1:3" x14ac:dyDescent="0.25">
      <c r="A294" s="3">
        <v>37346</v>
      </c>
      <c r="B294" s="2">
        <v>4.29</v>
      </c>
    </row>
    <row r="295" spans="1:3" x14ac:dyDescent="0.25">
      <c r="A295" s="3">
        <v>37315</v>
      </c>
      <c r="B295" s="2">
        <v>4.26</v>
      </c>
      <c r="C295" s="6">
        <f>AVERAGE(B295:B297)</f>
        <v>4.03</v>
      </c>
    </row>
    <row r="296" spans="1:3" x14ac:dyDescent="0.25">
      <c r="A296" s="3">
        <v>37287</v>
      </c>
      <c r="B296" s="2">
        <v>3.52</v>
      </c>
    </row>
    <row r="297" spans="1:3" x14ac:dyDescent="0.25">
      <c r="A297" s="3">
        <v>37256</v>
      </c>
      <c r="B297" s="2">
        <v>4.3099999999999996</v>
      </c>
    </row>
    <row r="298" spans="1:3" x14ac:dyDescent="0.25">
      <c r="A298" s="3">
        <v>37225</v>
      </c>
      <c r="B298" s="2">
        <v>4.78</v>
      </c>
      <c r="C298" s="6">
        <f>AVERAGE(B298:B300)</f>
        <v>5.6000000000000005</v>
      </c>
    </row>
    <row r="299" spans="1:3" x14ac:dyDescent="0.25">
      <c r="A299" s="3">
        <v>37195</v>
      </c>
      <c r="B299" s="2">
        <v>5.62</v>
      </c>
    </row>
    <row r="300" spans="1:3" x14ac:dyDescent="0.25">
      <c r="A300" s="3">
        <v>37164</v>
      </c>
      <c r="B300" s="2">
        <v>6.4</v>
      </c>
    </row>
    <row r="301" spans="1:3" x14ac:dyDescent="0.25">
      <c r="A301" s="3">
        <v>37134</v>
      </c>
      <c r="B301" s="2">
        <v>6.4</v>
      </c>
      <c r="C301" s="6">
        <f>AVERAGE(B301:B303)</f>
        <v>6.4766666666666666</v>
      </c>
    </row>
    <row r="302" spans="1:3" x14ac:dyDescent="0.25">
      <c r="A302" s="3">
        <v>37103</v>
      </c>
      <c r="B302" s="2">
        <v>6.55</v>
      </c>
    </row>
    <row r="303" spans="1:3" x14ac:dyDescent="0.25">
      <c r="A303" s="3">
        <v>37072</v>
      </c>
      <c r="B303" s="2">
        <v>6.48</v>
      </c>
    </row>
    <row r="304" spans="1:3" x14ac:dyDescent="0.25">
      <c r="A304" s="3">
        <v>37042</v>
      </c>
      <c r="B304" s="2">
        <v>5.69</v>
      </c>
      <c r="C304" s="6">
        <f>AVERAGE(B304:B306)</f>
        <v>5.2633333333333336</v>
      </c>
    </row>
    <row r="305" spans="1:3" x14ac:dyDescent="0.25">
      <c r="A305" s="3">
        <v>37011</v>
      </c>
      <c r="B305" s="2">
        <v>4.8600000000000003</v>
      </c>
    </row>
    <row r="306" spans="1:3" x14ac:dyDescent="0.25">
      <c r="A306" s="3">
        <v>36981</v>
      </c>
      <c r="B306" s="2">
        <v>5.24</v>
      </c>
    </row>
    <row r="307" spans="1:3" x14ac:dyDescent="0.25">
      <c r="A307" s="3">
        <v>36950</v>
      </c>
      <c r="B307" s="2">
        <v>6.05</v>
      </c>
      <c r="C307" s="6">
        <f>AVERAGE(B307:B309)</f>
        <v>6.206666666666667</v>
      </c>
    </row>
    <row r="308" spans="1:3" x14ac:dyDescent="0.25">
      <c r="A308" s="3">
        <v>36922</v>
      </c>
      <c r="B308" s="2">
        <v>6.07</v>
      </c>
    </row>
    <row r="309" spans="1:3" x14ac:dyDescent="0.25">
      <c r="A309" s="3">
        <v>36891</v>
      </c>
      <c r="B309" s="2">
        <v>6.5</v>
      </c>
    </row>
    <row r="310" spans="1:3" x14ac:dyDescent="0.25">
      <c r="A310" s="3">
        <v>36860</v>
      </c>
      <c r="B310" s="2">
        <v>6.78</v>
      </c>
      <c r="C310" s="6">
        <f>AVERAGE(B310:B312)</f>
        <v>6.44</v>
      </c>
    </row>
    <row r="311" spans="1:3" x14ac:dyDescent="0.25">
      <c r="A311" s="3">
        <v>36830</v>
      </c>
      <c r="B311" s="2">
        <v>6.4</v>
      </c>
    </row>
    <row r="312" spans="1:3" x14ac:dyDescent="0.25">
      <c r="A312" s="3">
        <v>36799</v>
      </c>
      <c r="B312" s="2">
        <v>6.14</v>
      </c>
    </row>
    <row r="313" spans="1:3" x14ac:dyDescent="0.25">
      <c r="A313" s="3">
        <v>36769</v>
      </c>
      <c r="B313" s="2">
        <v>6.34</v>
      </c>
      <c r="C313" s="6">
        <f>AVERAGE(B313:B315)</f>
        <v>6.4799999999999995</v>
      </c>
    </row>
    <row r="314" spans="1:3" x14ac:dyDescent="0.25">
      <c r="A314" s="3">
        <v>36707</v>
      </c>
      <c r="B314" s="2">
        <v>6.2</v>
      </c>
    </row>
    <row r="315" spans="1:3" x14ac:dyDescent="0.25">
      <c r="A315" s="3">
        <v>36677</v>
      </c>
      <c r="B315" s="2">
        <v>6.9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A2FE7-7002-4E2B-84CC-7431AD4DA544}">
  <dimension ref="A1:B105"/>
  <sheetViews>
    <sheetView workbookViewId="0">
      <selection activeCell="F20" sqref="F20"/>
    </sheetView>
  </sheetViews>
  <sheetFormatPr defaultRowHeight="15.75" x14ac:dyDescent="0.25"/>
  <cols>
    <col min="1" max="1" width="11" style="2" bestFit="1" customWidth="1"/>
    <col min="2" max="2" width="46.140625" style="2" bestFit="1" customWidth="1"/>
  </cols>
  <sheetData>
    <row r="1" spans="1:2" x14ac:dyDescent="0.25">
      <c r="A1" s="2" t="s">
        <v>0</v>
      </c>
      <c r="B1" s="2" t="s">
        <v>8</v>
      </c>
    </row>
    <row r="2" spans="1:2" x14ac:dyDescent="0.25">
      <c r="A2" s="3">
        <v>46173</v>
      </c>
      <c r="B2" s="7">
        <v>7.1433333333333335</v>
      </c>
    </row>
    <row r="3" spans="1:2" x14ac:dyDescent="0.25">
      <c r="A3" s="3">
        <v>46081</v>
      </c>
      <c r="B3" s="7">
        <v>5.4266666666666667</v>
      </c>
    </row>
    <row r="4" spans="1:2" x14ac:dyDescent="0.25">
      <c r="A4" s="3">
        <v>45991</v>
      </c>
      <c r="B4" s="7">
        <v>5.2399999999999993</v>
      </c>
    </row>
    <row r="5" spans="1:2" x14ac:dyDescent="0.25">
      <c r="A5" s="3">
        <v>45900</v>
      </c>
      <c r="B5" s="7">
        <v>4.0666666666666664</v>
      </c>
    </row>
    <row r="6" spans="1:2" x14ac:dyDescent="0.25">
      <c r="A6" s="3">
        <v>45808</v>
      </c>
      <c r="B6" s="7">
        <v>3.6066666666666669</v>
      </c>
    </row>
    <row r="7" spans="1:2" x14ac:dyDescent="0.25">
      <c r="A7" s="3">
        <v>45716</v>
      </c>
      <c r="B7" s="7">
        <v>5.22</v>
      </c>
    </row>
    <row r="8" spans="1:2" x14ac:dyDescent="0.25">
      <c r="A8" s="3">
        <v>45626</v>
      </c>
      <c r="B8" s="7">
        <v>5.5333333333333341</v>
      </c>
    </row>
    <row r="9" spans="1:2" x14ac:dyDescent="0.25">
      <c r="A9" s="3">
        <v>45535</v>
      </c>
      <c r="B9" s="7">
        <v>5.9733333333333336</v>
      </c>
    </row>
    <row r="10" spans="1:2" x14ac:dyDescent="0.25">
      <c r="A10" s="3">
        <v>45443</v>
      </c>
      <c r="B10" s="7">
        <v>6.2433333333333332</v>
      </c>
    </row>
    <row r="11" spans="1:2" x14ac:dyDescent="0.25">
      <c r="A11" s="3">
        <v>45351</v>
      </c>
      <c r="B11" s="7">
        <v>5.56</v>
      </c>
    </row>
    <row r="12" spans="1:2" x14ac:dyDescent="0.25">
      <c r="A12" s="3">
        <v>45260</v>
      </c>
      <c r="B12" s="7">
        <v>5.5233333333333334</v>
      </c>
    </row>
    <row r="13" spans="1:2" x14ac:dyDescent="0.25">
      <c r="A13" s="3">
        <v>45169</v>
      </c>
      <c r="B13" s="7">
        <v>6.8</v>
      </c>
    </row>
    <row r="14" spans="1:2" x14ac:dyDescent="0.25">
      <c r="A14" s="3">
        <v>45077</v>
      </c>
      <c r="B14" s="7">
        <v>6.52</v>
      </c>
    </row>
    <row r="15" spans="1:2" x14ac:dyDescent="0.25">
      <c r="A15" s="3">
        <v>44985</v>
      </c>
      <c r="B15" s="7">
        <v>6.8599999999999994</v>
      </c>
    </row>
    <row r="16" spans="1:2" x14ac:dyDescent="0.25">
      <c r="A16" s="3">
        <v>44895</v>
      </c>
      <c r="B16" s="7">
        <v>7.3</v>
      </c>
    </row>
    <row r="17" spans="1:2" x14ac:dyDescent="0.25">
      <c r="A17" s="3">
        <v>44804</v>
      </c>
      <c r="B17" s="7">
        <v>7.07</v>
      </c>
    </row>
    <row r="18" spans="1:2" x14ac:dyDescent="0.25">
      <c r="A18" s="3">
        <v>44712</v>
      </c>
      <c r="B18" s="7">
        <v>7.9833333333333343</v>
      </c>
    </row>
    <row r="19" spans="1:2" x14ac:dyDescent="0.25">
      <c r="A19" s="3">
        <v>44620</v>
      </c>
      <c r="B19" s="7">
        <v>7.8433333333333337</v>
      </c>
    </row>
    <row r="20" spans="1:2" x14ac:dyDescent="0.25">
      <c r="A20" s="3">
        <v>44530</v>
      </c>
      <c r="B20" s="7">
        <v>8.5266666666666655</v>
      </c>
    </row>
    <row r="21" spans="1:2" x14ac:dyDescent="0.25">
      <c r="A21" s="3">
        <v>44439</v>
      </c>
      <c r="B21" s="7">
        <v>8.7366666666666664</v>
      </c>
    </row>
    <row r="22" spans="1:2" x14ac:dyDescent="0.25">
      <c r="A22" s="3">
        <v>44347</v>
      </c>
      <c r="B22" s="7">
        <v>8.9700000000000006</v>
      </c>
    </row>
    <row r="23" spans="1:2" x14ac:dyDescent="0.25">
      <c r="A23" s="3">
        <v>44255</v>
      </c>
      <c r="B23" s="7">
        <v>8.8800000000000008</v>
      </c>
    </row>
    <row r="24" spans="1:2" x14ac:dyDescent="0.25">
      <c r="A24" s="3">
        <v>44165</v>
      </c>
      <c r="B24" s="7">
        <v>7.2133333333333338</v>
      </c>
    </row>
    <row r="25" spans="1:2" x14ac:dyDescent="0.25">
      <c r="A25" s="3">
        <v>44074</v>
      </c>
      <c r="B25" s="7">
        <v>6.1033333333333326</v>
      </c>
    </row>
    <row r="26" spans="1:2" x14ac:dyDescent="0.25">
      <c r="A26" s="3">
        <v>43982</v>
      </c>
      <c r="B26" s="7">
        <v>4.54</v>
      </c>
    </row>
    <row r="27" spans="1:2" x14ac:dyDescent="0.25">
      <c r="A27" s="3">
        <v>43890</v>
      </c>
      <c r="B27" s="7">
        <v>4.5333333333333332</v>
      </c>
    </row>
    <row r="28" spans="1:2" x14ac:dyDescent="0.25">
      <c r="A28" s="3">
        <v>43799</v>
      </c>
      <c r="B28" s="7">
        <v>4.0066666666666668</v>
      </c>
    </row>
    <row r="29" spans="1:2" x14ac:dyDescent="0.25">
      <c r="A29" s="3">
        <v>43708</v>
      </c>
      <c r="B29" s="7">
        <v>3.3766666666666665</v>
      </c>
    </row>
    <row r="30" spans="1:2" x14ac:dyDescent="0.25">
      <c r="A30" s="3">
        <v>43616</v>
      </c>
      <c r="B30" s="7">
        <v>3.36</v>
      </c>
    </row>
    <row r="31" spans="1:2" x14ac:dyDescent="0.25">
      <c r="A31" s="3">
        <v>43524</v>
      </c>
      <c r="B31" s="7">
        <v>3.0066666666666664</v>
      </c>
    </row>
    <row r="32" spans="1:2" x14ac:dyDescent="0.25">
      <c r="A32" s="3">
        <v>43434</v>
      </c>
      <c r="B32" s="7">
        <v>3.1933333333333334</v>
      </c>
    </row>
    <row r="33" spans="1:2" x14ac:dyDescent="0.25">
      <c r="A33" s="3">
        <v>43343</v>
      </c>
      <c r="B33" s="7">
        <v>3.56</v>
      </c>
    </row>
    <row r="34" spans="1:2" x14ac:dyDescent="0.25">
      <c r="A34" s="3">
        <v>43251</v>
      </c>
      <c r="B34" s="7">
        <v>3.6433333333333331</v>
      </c>
    </row>
    <row r="35" spans="1:2" x14ac:dyDescent="0.25">
      <c r="A35" s="3">
        <v>43159</v>
      </c>
      <c r="B35" s="7">
        <v>3.47</v>
      </c>
    </row>
    <row r="36" spans="1:2" x14ac:dyDescent="0.25">
      <c r="A36" s="3">
        <v>43069</v>
      </c>
      <c r="B36" s="7">
        <v>3.793333333333333</v>
      </c>
    </row>
    <row r="37" spans="1:2" x14ac:dyDescent="0.25">
      <c r="A37" s="3">
        <v>42978</v>
      </c>
      <c r="B37" s="7">
        <v>3.5233333333333334</v>
      </c>
    </row>
    <row r="38" spans="1:2" x14ac:dyDescent="0.25">
      <c r="A38" s="3">
        <v>42886</v>
      </c>
      <c r="B38" s="7">
        <v>3.6300000000000003</v>
      </c>
    </row>
    <row r="39" spans="1:2" x14ac:dyDescent="0.25">
      <c r="A39" s="3">
        <v>42794</v>
      </c>
      <c r="B39" s="7">
        <v>3.5133333333333332</v>
      </c>
    </row>
    <row r="40" spans="1:2" x14ac:dyDescent="0.25">
      <c r="A40" s="3">
        <v>42704</v>
      </c>
      <c r="B40" s="7">
        <v>3.86</v>
      </c>
    </row>
    <row r="41" spans="1:2" x14ac:dyDescent="0.25">
      <c r="A41" s="3">
        <v>42613</v>
      </c>
      <c r="B41" s="7">
        <v>4.5333333333333332</v>
      </c>
    </row>
    <row r="42" spans="1:2" x14ac:dyDescent="0.25">
      <c r="A42" s="3">
        <v>42521</v>
      </c>
      <c r="B42" s="7">
        <v>4.3866666666666667</v>
      </c>
    </row>
    <row r="43" spans="1:2" x14ac:dyDescent="0.25">
      <c r="A43" s="3">
        <v>42429</v>
      </c>
      <c r="B43" s="7">
        <v>5.4433333333333342</v>
      </c>
    </row>
    <row r="44" spans="1:2" x14ac:dyDescent="0.25">
      <c r="A44" s="3">
        <v>42338</v>
      </c>
      <c r="B44" s="7">
        <v>6.5033333333333339</v>
      </c>
    </row>
    <row r="45" spans="1:2" x14ac:dyDescent="0.25">
      <c r="A45" s="3">
        <v>42247</v>
      </c>
      <c r="B45" s="7">
        <v>6.0900000000000007</v>
      </c>
    </row>
    <row r="46" spans="1:2" x14ac:dyDescent="0.25">
      <c r="A46" s="3">
        <v>42155</v>
      </c>
      <c r="B46" s="7">
        <v>6.69</v>
      </c>
    </row>
    <row r="47" spans="1:2" x14ac:dyDescent="0.25">
      <c r="A47" s="3">
        <v>42063</v>
      </c>
      <c r="B47" s="7">
        <v>6.2433333333333332</v>
      </c>
    </row>
    <row r="48" spans="1:2" x14ac:dyDescent="0.25">
      <c r="A48" s="3">
        <v>41973</v>
      </c>
      <c r="B48" s="7">
        <v>5.19</v>
      </c>
    </row>
    <row r="49" spans="1:2" x14ac:dyDescent="0.25">
      <c r="A49" s="3">
        <v>41882</v>
      </c>
      <c r="B49" s="7">
        <v>5.5733333333333333</v>
      </c>
    </row>
    <row r="50" spans="1:2" x14ac:dyDescent="0.25">
      <c r="A50" s="3">
        <v>41790</v>
      </c>
      <c r="B50" s="7">
        <v>6.0266666666666664</v>
      </c>
    </row>
    <row r="51" spans="1:2" x14ac:dyDescent="0.25">
      <c r="A51" s="3">
        <v>41698</v>
      </c>
      <c r="B51" s="7">
        <v>5.8866666666666667</v>
      </c>
    </row>
    <row r="52" spans="1:2" x14ac:dyDescent="0.25">
      <c r="A52" s="3">
        <v>41608</v>
      </c>
      <c r="B52" s="7">
        <v>5.9933333333333332</v>
      </c>
    </row>
    <row r="53" spans="1:2" x14ac:dyDescent="0.25">
      <c r="A53" s="3">
        <v>41517</v>
      </c>
      <c r="B53" s="7">
        <v>5.4933333333333332</v>
      </c>
    </row>
    <row r="54" spans="1:2" x14ac:dyDescent="0.25">
      <c r="A54" s="3">
        <v>41425</v>
      </c>
      <c r="B54" s="7">
        <v>4.1733333333333329</v>
      </c>
    </row>
    <row r="55" spans="1:2" x14ac:dyDescent="0.25">
      <c r="A55" s="3">
        <v>41333</v>
      </c>
      <c r="B55" s="7">
        <v>3.3666666666666671</v>
      </c>
    </row>
    <row r="56" spans="1:2" x14ac:dyDescent="0.25">
      <c r="A56" s="3">
        <v>41243</v>
      </c>
      <c r="B56" s="7">
        <v>3.4833333333333329</v>
      </c>
    </row>
    <row r="57" spans="1:2" x14ac:dyDescent="0.25">
      <c r="A57" s="3">
        <v>41152</v>
      </c>
      <c r="B57" s="7">
        <v>3.9800000000000004</v>
      </c>
    </row>
    <row r="58" spans="1:2" x14ac:dyDescent="0.25">
      <c r="A58" s="3">
        <v>41060</v>
      </c>
      <c r="B58" s="7">
        <v>4.7166666666666659</v>
      </c>
    </row>
    <row r="59" spans="1:2" x14ac:dyDescent="0.25">
      <c r="A59" s="3">
        <v>40968</v>
      </c>
      <c r="B59" s="7">
        <v>4.97</v>
      </c>
    </row>
    <row r="60" spans="1:2" x14ac:dyDescent="0.25">
      <c r="A60" s="3">
        <v>40877</v>
      </c>
      <c r="B60" s="7">
        <v>5.3966666666666674</v>
      </c>
    </row>
    <row r="61" spans="1:2" x14ac:dyDescent="0.25">
      <c r="A61" s="3">
        <v>40786</v>
      </c>
      <c r="B61" s="7">
        <v>5.996666666666667</v>
      </c>
    </row>
    <row r="62" spans="1:2" x14ac:dyDescent="0.25">
      <c r="A62" s="3">
        <v>40694</v>
      </c>
      <c r="B62" s="7">
        <v>6.0133333333333328</v>
      </c>
    </row>
    <row r="63" spans="1:2" x14ac:dyDescent="0.25">
      <c r="A63" s="3">
        <v>40602</v>
      </c>
      <c r="B63" s="7">
        <v>5.94</v>
      </c>
    </row>
    <row r="64" spans="1:2" x14ac:dyDescent="0.25">
      <c r="A64" s="3">
        <v>40512</v>
      </c>
      <c r="B64" s="7">
        <v>4.9633333333333338</v>
      </c>
    </row>
    <row r="65" spans="1:2" x14ac:dyDescent="0.25">
      <c r="A65" s="3">
        <v>40421</v>
      </c>
      <c r="B65" s="7">
        <v>4.2300000000000004</v>
      </c>
    </row>
    <row r="66" spans="1:2" x14ac:dyDescent="0.25">
      <c r="A66" s="3">
        <v>40329</v>
      </c>
      <c r="B66" s="7">
        <v>3.6433333333333331</v>
      </c>
    </row>
    <row r="67" spans="1:2" x14ac:dyDescent="0.25">
      <c r="A67" s="3">
        <v>40237</v>
      </c>
      <c r="B67" s="7">
        <v>5.1066666666666665</v>
      </c>
    </row>
    <row r="68" spans="1:2" x14ac:dyDescent="0.25">
      <c r="A68" s="3">
        <v>40147</v>
      </c>
      <c r="B68" s="7">
        <v>7.0133333333333328</v>
      </c>
    </row>
    <row r="69" spans="1:2" x14ac:dyDescent="0.25">
      <c r="A69" s="3">
        <v>40056</v>
      </c>
      <c r="B69" s="7">
        <v>8.4233333333333338</v>
      </c>
    </row>
    <row r="70" spans="1:2" x14ac:dyDescent="0.25">
      <c r="A70" s="3">
        <v>39964</v>
      </c>
      <c r="B70" s="7">
        <v>7.3433333333333337</v>
      </c>
    </row>
    <row r="71" spans="1:2" x14ac:dyDescent="0.25">
      <c r="A71" s="3">
        <v>39872</v>
      </c>
      <c r="B71" s="7">
        <v>6.833333333333333</v>
      </c>
    </row>
    <row r="72" spans="1:2" x14ac:dyDescent="0.25">
      <c r="A72" s="3">
        <v>39782</v>
      </c>
      <c r="B72" s="7">
        <v>4.5633333333333335</v>
      </c>
    </row>
    <row r="73" spans="1:2" x14ac:dyDescent="0.25">
      <c r="A73" s="3">
        <v>39691</v>
      </c>
      <c r="B73" s="7">
        <v>1.9266666666666665</v>
      </c>
    </row>
    <row r="74" spans="1:2" x14ac:dyDescent="0.25">
      <c r="A74" s="3">
        <v>39599</v>
      </c>
      <c r="B74" s="7">
        <v>2.2633333333333336</v>
      </c>
    </row>
    <row r="75" spans="1:2" x14ac:dyDescent="0.25">
      <c r="A75" s="3">
        <v>39507</v>
      </c>
      <c r="B75" s="7">
        <v>1.4233333333333331</v>
      </c>
    </row>
    <row r="76" spans="1:2" x14ac:dyDescent="0.25">
      <c r="A76" s="3">
        <v>39416</v>
      </c>
      <c r="B76" s="7">
        <v>2.8699999999999997</v>
      </c>
    </row>
    <row r="77" spans="1:2" x14ac:dyDescent="0.25">
      <c r="A77" s="3">
        <v>39325</v>
      </c>
      <c r="B77" s="7">
        <v>4.3099999999999996</v>
      </c>
    </row>
    <row r="78" spans="1:2" x14ac:dyDescent="0.25">
      <c r="A78" s="3">
        <v>39233</v>
      </c>
      <c r="B78" s="7">
        <v>5.0733333333333341</v>
      </c>
    </row>
    <row r="79" spans="1:2" x14ac:dyDescent="0.25">
      <c r="A79" s="3">
        <v>39141</v>
      </c>
      <c r="B79" s="7">
        <v>5.0900000000000007</v>
      </c>
    </row>
    <row r="80" spans="1:2" x14ac:dyDescent="0.25">
      <c r="A80" s="3">
        <v>39051</v>
      </c>
      <c r="B80" s="7">
        <v>5.836666666666666</v>
      </c>
    </row>
    <row r="81" spans="1:2" x14ac:dyDescent="0.25">
      <c r="A81" s="3">
        <v>38960</v>
      </c>
      <c r="B81" s="7">
        <v>5.4533333333333331</v>
      </c>
    </row>
    <row r="82" spans="1:2" x14ac:dyDescent="0.25">
      <c r="A82" s="3">
        <v>38868</v>
      </c>
      <c r="B82" s="7">
        <v>6.6966666666666663</v>
      </c>
    </row>
    <row r="83" spans="1:2" x14ac:dyDescent="0.25">
      <c r="A83" s="3">
        <v>38776</v>
      </c>
      <c r="B83" s="7">
        <v>6.873333333333334</v>
      </c>
    </row>
    <row r="84" spans="1:2" x14ac:dyDescent="0.25">
      <c r="A84" s="3">
        <v>38686</v>
      </c>
      <c r="B84" s="7">
        <v>6.2866666666666662</v>
      </c>
    </row>
    <row r="85" spans="1:2" x14ac:dyDescent="0.25">
      <c r="A85" s="3">
        <v>38595</v>
      </c>
      <c r="B85" s="7">
        <v>6.4633333333333338</v>
      </c>
    </row>
    <row r="86" spans="1:2" x14ac:dyDescent="0.25">
      <c r="A86" s="3">
        <v>38503</v>
      </c>
      <c r="B86" s="7">
        <v>5.5466666666666669</v>
      </c>
    </row>
    <row r="87" spans="1:2" x14ac:dyDescent="0.25">
      <c r="A87" s="3">
        <v>38411</v>
      </c>
      <c r="B87" s="7">
        <v>6.3466666666666667</v>
      </c>
    </row>
    <row r="88" spans="1:2" x14ac:dyDescent="0.25">
      <c r="A88" s="3">
        <v>38321</v>
      </c>
      <c r="B88" s="7">
        <v>6.8066666666666658</v>
      </c>
    </row>
    <row r="89" spans="1:2" x14ac:dyDescent="0.25">
      <c r="A89" s="3">
        <v>38230</v>
      </c>
      <c r="B89" s="7">
        <v>7.456666666666667</v>
      </c>
    </row>
    <row r="90" spans="1:2" x14ac:dyDescent="0.25">
      <c r="A90" s="3">
        <v>38138</v>
      </c>
      <c r="B90" s="7">
        <v>8.1499999999999986</v>
      </c>
    </row>
    <row r="91" spans="1:2" x14ac:dyDescent="0.25">
      <c r="A91" s="3">
        <v>38046</v>
      </c>
      <c r="B91" s="7">
        <v>6.2166666666666659</v>
      </c>
    </row>
    <row r="92" spans="1:2" x14ac:dyDescent="0.25">
      <c r="A92" s="3">
        <v>37955</v>
      </c>
      <c r="B92" s="7">
        <v>5.32</v>
      </c>
    </row>
    <row r="93" spans="1:2" x14ac:dyDescent="0.25">
      <c r="A93" s="3">
        <v>37864</v>
      </c>
      <c r="B93" s="7">
        <v>3.6566666666666663</v>
      </c>
    </row>
    <row r="94" spans="1:2" x14ac:dyDescent="0.25">
      <c r="A94" s="3">
        <v>37772</v>
      </c>
      <c r="B94" s="7">
        <v>2.3933333333333331</v>
      </c>
    </row>
    <row r="95" spans="1:2" x14ac:dyDescent="0.25">
      <c r="A95" s="3">
        <v>37680</v>
      </c>
      <c r="B95" s="7">
        <v>2.89</v>
      </c>
    </row>
    <row r="96" spans="1:2" x14ac:dyDescent="0.25">
      <c r="A96" s="3">
        <v>37590</v>
      </c>
      <c r="B96" s="7">
        <v>2.5666666666666664</v>
      </c>
    </row>
    <row r="97" spans="1:2" x14ac:dyDescent="0.25">
      <c r="A97" s="3">
        <v>37499</v>
      </c>
      <c r="B97" s="7">
        <v>2.9566666666666666</v>
      </c>
    </row>
    <row r="98" spans="1:2" x14ac:dyDescent="0.25">
      <c r="A98" s="3">
        <v>37407</v>
      </c>
      <c r="B98" s="7">
        <v>4.2866666666666662</v>
      </c>
    </row>
    <row r="99" spans="1:2" x14ac:dyDescent="0.25">
      <c r="A99" s="3">
        <v>37315</v>
      </c>
      <c r="B99" s="7">
        <v>4.03</v>
      </c>
    </row>
    <row r="100" spans="1:2" x14ac:dyDescent="0.25">
      <c r="A100" s="3">
        <v>37225</v>
      </c>
      <c r="B100" s="7">
        <v>5.6000000000000005</v>
      </c>
    </row>
    <row r="101" spans="1:2" x14ac:dyDescent="0.25">
      <c r="A101" s="3">
        <v>37134</v>
      </c>
      <c r="B101" s="7">
        <v>6.4766666666666666</v>
      </c>
    </row>
    <row r="102" spans="1:2" x14ac:dyDescent="0.25">
      <c r="A102" s="3">
        <v>37042</v>
      </c>
      <c r="B102" s="7">
        <v>5.2633333333333336</v>
      </c>
    </row>
    <row r="103" spans="1:2" x14ac:dyDescent="0.25">
      <c r="A103" s="3">
        <v>36950</v>
      </c>
      <c r="B103" s="7">
        <v>6.206666666666667</v>
      </c>
    </row>
    <row r="104" spans="1:2" x14ac:dyDescent="0.25">
      <c r="A104" s="3">
        <v>36860</v>
      </c>
      <c r="B104" s="7">
        <v>6.44</v>
      </c>
    </row>
    <row r="105" spans="1:2" x14ac:dyDescent="0.25">
      <c r="A105" s="3">
        <v>36769</v>
      </c>
      <c r="B105" s="7">
        <v>6.4799999999999995</v>
      </c>
    </row>
  </sheetData>
  <autoFilter ref="A1:B105" xr:uid="{581A2FE7-7002-4E2B-84CC-7431AD4DA544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CE4C8-0887-4661-BAFD-1E0B181700C8}">
  <dimension ref="A1:E316"/>
  <sheetViews>
    <sheetView zoomScale="115" zoomScaleNormal="115" workbookViewId="0">
      <selection activeCell="D26" sqref="D26"/>
    </sheetView>
  </sheetViews>
  <sheetFormatPr defaultRowHeight="15.75" x14ac:dyDescent="0.25"/>
  <cols>
    <col min="2" max="2" width="23.5703125" bestFit="1" customWidth="1"/>
    <col min="3" max="3" width="37.5703125" bestFit="1" customWidth="1"/>
    <col min="4" max="4" width="37.5703125" style="8" bestFit="1" customWidth="1"/>
    <col min="5" max="5" width="47" style="2" bestFit="1" customWidth="1"/>
  </cols>
  <sheetData>
    <row r="1" spans="1:5" x14ac:dyDescent="0.25">
      <c r="A1" t="s">
        <v>0</v>
      </c>
      <c r="B1" t="s">
        <v>9</v>
      </c>
      <c r="C1" s="8" t="s">
        <v>12</v>
      </c>
      <c r="D1" s="8" t="s">
        <v>10</v>
      </c>
      <c r="E1" s="10" t="s">
        <v>11</v>
      </c>
    </row>
    <row r="2" spans="1:5" x14ac:dyDescent="0.25">
      <c r="A2" s="1">
        <v>46234</v>
      </c>
      <c r="B2">
        <v>11889.58</v>
      </c>
      <c r="C2" s="9">
        <f>(B2/B3)-1</f>
        <v>6.5125098940543857E-3</v>
      </c>
      <c r="D2" s="8">
        <f>((B2/B14)-1)</f>
        <v>4.5178996522393433E-2</v>
      </c>
    </row>
    <row r="3" spans="1:5" x14ac:dyDescent="0.25">
      <c r="A3" s="1">
        <v>46203</v>
      </c>
      <c r="B3">
        <v>11812.65</v>
      </c>
      <c r="C3" s="9">
        <f t="shared" ref="C3:C66" si="0">(B3/B4)-1</f>
        <v>4.556482783077298E-3</v>
      </c>
      <c r="D3" s="8">
        <f t="shared" ref="D3:D66" si="1">((B3/B15)-1)</f>
        <v>4.3630028245018604E-2</v>
      </c>
    </row>
    <row r="4" spans="1:5" x14ac:dyDescent="0.25">
      <c r="A4" s="1">
        <v>46173</v>
      </c>
      <c r="B4">
        <v>11759.07</v>
      </c>
      <c r="C4" s="9">
        <f t="shared" si="0"/>
        <v>3.1992301372598675E-3</v>
      </c>
      <c r="D4" s="8">
        <f t="shared" si="1"/>
        <v>4.3417035130264292E-2</v>
      </c>
      <c r="E4" s="10">
        <f>AVERAGE(D4:D6)</f>
        <v>4.436409340961419E-2</v>
      </c>
    </row>
    <row r="5" spans="1:5" x14ac:dyDescent="0.25">
      <c r="A5" s="1">
        <v>46142</v>
      </c>
      <c r="B5">
        <v>11721.57</v>
      </c>
      <c r="C5" s="9">
        <f t="shared" si="0"/>
        <v>4.0576656216271267E-3</v>
      </c>
      <c r="D5" s="8">
        <f t="shared" si="1"/>
        <v>4.4986342110518329E-2</v>
      </c>
    </row>
    <row r="6" spans="1:5" x14ac:dyDescent="0.25">
      <c r="A6" s="1">
        <v>46112</v>
      </c>
      <c r="B6">
        <v>11674.2</v>
      </c>
      <c r="C6" s="9">
        <f t="shared" si="0"/>
        <v>3.9913001524796154E-3</v>
      </c>
      <c r="D6" s="8">
        <f t="shared" si="1"/>
        <v>4.4688902988059942E-2</v>
      </c>
    </row>
    <row r="7" spans="1:5" x14ac:dyDescent="0.25">
      <c r="A7" s="1">
        <v>46081</v>
      </c>
      <c r="B7">
        <v>11627.79</v>
      </c>
      <c r="C7" s="9">
        <f t="shared" si="0"/>
        <v>9.0899465707416915E-4</v>
      </c>
      <c r="D7" s="8">
        <f t="shared" si="1"/>
        <v>4.4880907664575309E-2</v>
      </c>
      <c r="E7" s="10">
        <f>AVERAGE(D7:D9)</f>
        <v>4.5018582252181062E-2</v>
      </c>
    </row>
    <row r="8" spans="1:5" x14ac:dyDescent="0.25">
      <c r="A8" s="1">
        <v>46053</v>
      </c>
      <c r="B8">
        <v>11617.23</v>
      </c>
      <c r="C8" s="9">
        <f t="shared" si="0"/>
        <v>3.4013223525957148E-3</v>
      </c>
      <c r="D8" s="8">
        <f t="shared" si="1"/>
        <v>4.5538571752567591E-2</v>
      </c>
    </row>
    <row r="9" spans="1:5" x14ac:dyDescent="0.25">
      <c r="A9" s="1">
        <v>46022</v>
      </c>
      <c r="B9">
        <v>11577.85</v>
      </c>
      <c r="C9" s="9">
        <f t="shared" si="0"/>
        <v>4.2179783194353782E-3</v>
      </c>
      <c r="D9" s="8">
        <f t="shared" si="1"/>
        <v>4.4636267339400293E-2</v>
      </c>
    </row>
    <row r="10" spans="1:5" x14ac:dyDescent="0.25">
      <c r="A10" s="1">
        <v>45991</v>
      </c>
      <c r="B10">
        <v>11529.22</v>
      </c>
      <c r="C10" s="9">
        <f t="shared" si="0"/>
        <v>3.7217700477170101E-3</v>
      </c>
      <c r="D10" s="8">
        <f t="shared" si="1"/>
        <v>4.8057553433643374E-2</v>
      </c>
      <c r="E10" s="10">
        <f>AVERAGE(D10:D12)</f>
        <v>5.1099247454594376E-2</v>
      </c>
    </row>
    <row r="11" spans="1:5" x14ac:dyDescent="0.25">
      <c r="A11" s="1">
        <v>45961</v>
      </c>
      <c r="B11">
        <v>11486.47</v>
      </c>
      <c r="C11" s="9">
        <f t="shared" si="0"/>
        <v>3.2517442205770575E-3</v>
      </c>
      <c r="D11" s="8">
        <f t="shared" si="1"/>
        <v>5.0982362042478524E-2</v>
      </c>
    </row>
    <row r="12" spans="1:5" x14ac:dyDescent="0.25">
      <c r="A12" s="1">
        <v>45930</v>
      </c>
      <c r="B12">
        <v>11449.24</v>
      </c>
      <c r="C12" s="9">
        <f t="shared" si="0"/>
        <v>2.2567593356128679E-3</v>
      </c>
      <c r="D12" s="8">
        <f t="shared" si="1"/>
        <v>5.4257826887661231E-2</v>
      </c>
    </row>
    <row r="13" spans="1:5" x14ac:dyDescent="0.25">
      <c r="A13" s="1">
        <v>45900</v>
      </c>
      <c r="B13">
        <v>11423.46</v>
      </c>
      <c r="C13" s="9">
        <f t="shared" si="0"/>
        <v>4.2037195269892802E-3</v>
      </c>
      <c r="D13" s="8">
        <f t="shared" si="1"/>
        <v>6.276409875688671E-2</v>
      </c>
      <c r="E13" s="10">
        <f>AVERAGE(D13:D15)</f>
        <v>6.801323289604988E-2</v>
      </c>
    </row>
    <row r="14" spans="1:5" x14ac:dyDescent="0.25">
      <c r="A14" s="1">
        <v>45869</v>
      </c>
      <c r="B14">
        <v>11375.64</v>
      </c>
      <c r="C14" s="9">
        <f t="shared" si="0"/>
        <v>5.0208458309664028E-3</v>
      </c>
      <c r="D14" s="8">
        <f t="shared" si="1"/>
        <v>6.7433611710612684E-2</v>
      </c>
    </row>
    <row r="15" spans="1:5" x14ac:dyDescent="0.25">
      <c r="A15" s="1">
        <v>45838</v>
      </c>
      <c r="B15">
        <v>11318.81</v>
      </c>
      <c r="C15" s="9">
        <f t="shared" si="0"/>
        <v>4.351464138132366E-3</v>
      </c>
      <c r="D15" s="8">
        <f t="shared" si="1"/>
        <v>7.3841988220650245E-2</v>
      </c>
    </row>
    <row r="16" spans="1:5" x14ac:dyDescent="0.25">
      <c r="A16" s="1">
        <v>45808</v>
      </c>
      <c r="B16">
        <v>11269.77</v>
      </c>
      <c r="C16" s="9">
        <f t="shared" si="0"/>
        <v>4.7080492397229001E-3</v>
      </c>
      <c r="D16" s="8">
        <f t="shared" si="1"/>
        <v>8.0143076352434894E-2</v>
      </c>
      <c r="E16" s="10">
        <f>AVERAGE(D16:D18)</f>
        <v>8.7195285440829842E-2</v>
      </c>
    </row>
    <row r="17" spans="1:5" x14ac:dyDescent="0.25">
      <c r="A17" s="1">
        <v>45777</v>
      </c>
      <c r="B17">
        <v>11216.96</v>
      </c>
      <c r="C17" s="9">
        <f t="shared" si="0"/>
        <v>3.7718762108707171E-3</v>
      </c>
      <c r="D17" s="8">
        <f t="shared" si="1"/>
        <v>8.8043890510403511E-2</v>
      </c>
    </row>
    <row r="18" spans="1:5" x14ac:dyDescent="0.25">
      <c r="A18" s="1">
        <v>45747</v>
      </c>
      <c r="B18">
        <v>11174.81</v>
      </c>
      <c r="C18" s="9">
        <f t="shared" si="0"/>
        <v>4.1758249658079283E-3</v>
      </c>
      <c r="D18" s="8">
        <f t="shared" si="1"/>
        <v>9.3398889459651135E-2</v>
      </c>
    </row>
    <row r="19" spans="1:5" x14ac:dyDescent="0.25">
      <c r="A19" s="1">
        <v>45716</v>
      </c>
      <c r="B19">
        <v>11128.34</v>
      </c>
      <c r="C19" s="9">
        <f t="shared" si="0"/>
        <v>1.5389821478071219E-3</v>
      </c>
      <c r="D19" s="8">
        <f t="shared" si="1"/>
        <v>9.7729245580808088E-2</v>
      </c>
      <c r="E19" s="10">
        <f>AVERAGE(D19:D21)</f>
        <v>0.10016127596275948</v>
      </c>
    </row>
    <row r="20" spans="1:5" x14ac:dyDescent="0.25">
      <c r="A20" s="1">
        <v>45688</v>
      </c>
      <c r="B20">
        <v>11111.24</v>
      </c>
      <c r="C20" s="9">
        <f t="shared" si="0"/>
        <v>2.5353825720870748E-3</v>
      </c>
      <c r="D20" s="8">
        <f t="shared" si="1"/>
        <v>9.8602132889327399E-2</v>
      </c>
    </row>
    <row r="21" spans="1:5" x14ac:dyDescent="0.25">
      <c r="A21" s="1">
        <v>45657</v>
      </c>
      <c r="B21">
        <v>11083.14</v>
      </c>
      <c r="C21" s="9">
        <f t="shared" si="0"/>
        <v>7.5068905582988954E-3</v>
      </c>
      <c r="D21" s="8">
        <f t="shared" si="1"/>
        <v>0.10415244941814294</v>
      </c>
    </row>
    <row r="22" spans="1:5" x14ac:dyDescent="0.25">
      <c r="A22" s="1">
        <v>45626</v>
      </c>
      <c r="B22">
        <v>11000.56</v>
      </c>
      <c r="C22" s="9">
        <f t="shared" si="0"/>
        <v>6.5228510229868863E-3</v>
      </c>
      <c r="D22" s="8">
        <f t="shared" si="1"/>
        <v>0.1075719834798945</v>
      </c>
      <c r="E22" s="10">
        <f>AVERAGE(D22:D24)</f>
        <v>0.11030366246677303</v>
      </c>
    </row>
    <row r="23" spans="1:5" x14ac:dyDescent="0.25">
      <c r="A23" s="1">
        <v>45596</v>
      </c>
      <c r="B23">
        <v>10929.27</v>
      </c>
      <c r="C23" s="9">
        <f t="shared" si="0"/>
        <v>6.3784530386741256E-3</v>
      </c>
      <c r="D23" s="8">
        <f t="shared" si="1"/>
        <v>0.110723003969601</v>
      </c>
    </row>
    <row r="24" spans="1:5" x14ac:dyDescent="0.25">
      <c r="A24" s="1">
        <v>45565</v>
      </c>
      <c r="B24">
        <v>10860</v>
      </c>
      <c r="C24" s="9">
        <f t="shared" si="0"/>
        <v>1.0343460956644623E-2</v>
      </c>
      <c r="D24" s="8">
        <f t="shared" si="1"/>
        <v>0.11261599995082361</v>
      </c>
    </row>
    <row r="25" spans="1:5" x14ac:dyDescent="0.25">
      <c r="A25" s="1">
        <v>45535</v>
      </c>
      <c r="B25">
        <v>10748.82</v>
      </c>
      <c r="C25" s="9">
        <f t="shared" si="0"/>
        <v>8.6159331894528624E-3</v>
      </c>
      <c r="D25" s="8">
        <f t="shared" si="1"/>
        <v>0.11025127486332065</v>
      </c>
      <c r="E25" s="10">
        <f>AVERAGE(D25:D27)</f>
        <v>0.10686084340335074</v>
      </c>
    </row>
    <row r="26" spans="1:5" x14ac:dyDescent="0.25">
      <c r="A26" s="1">
        <v>45504</v>
      </c>
      <c r="B26">
        <v>10657</v>
      </c>
      <c r="C26" s="9">
        <f t="shared" si="0"/>
        <v>1.1054525031118256E-2</v>
      </c>
      <c r="D26" s="8">
        <f t="shared" si="1"/>
        <v>0.10820866809062002</v>
      </c>
    </row>
    <row r="27" spans="1:5" x14ac:dyDescent="0.25">
      <c r="A27" s="1">
        <v>45473</v>
      </c>
      <c r="B27">
        <v>10540.48</v>
      </c>
      <c r="C27" s="9">
        <f t="shared" si="0"/>
        <v>1.0244795894797321E-2</v>
      </c>
      <c r="D27" s="8">
        <f t="shared" si="1"/>
        <v>0.10212258725611156</v>
      </c>
    </row>
    <row r="28" spans="1:5" x14ac:dyDescent="0.25">
      <c r="A28" s="1">
        <v>45443</v>
      </c>
      <c r="B28">
        <v>10433.59</v>
      </c>
      <c r="C28" s="9">
        <f t="shared" si="0"/>
        <v>1.2057086375492299E-2</v>
      </c>
      <c r="D28" s="8">
        <f t="shared" si="1"/>
        <v>9.7905122285382395E-2</v>
      </c>
      <c r="E28" s="10">
        <f>AVERAGE(D28:D30)</f>
        <v>9.1534616862525509E-2</v>
      </c>
    </row>
    <row r="29" spans="1:5" x14ac:dyDescent="0.25">
      <c r="A29" s="1">
        <v>45412</v>
      </c>
      <c r="B29">
        <v>10309.290000000001</v>
      </c>
      <c r="C29" s="9">
        <f t="shared" si="0"/>
        <v>8.7121156527483201E-3</v>
      </c>
      <c r="D29" s="8">
        <f t="shared" si="1"/>
        <v>9.1161092294665735E-2</v>
      </c>
    </row>
    <row r="30" spans="1:5" x14ac:dyDescent="0.25">
      <c r="A30" s="1">
        <v>45382</v>
      </c>
      <c r="B30">
        <v>10220.25</v>
      </c>
      <c r="C30" s="9">
        <f t="shared" si="0"/>
        <v>8.1528172348483974E-3</v>
      </c>
      <c r="D30" s="8">
        <f t="shared" si="1"/>
        <v>8.5537636007528395E-2</v>
      </c>
    </row>
    <row r="31" spans="1:5" x14ac:dyDescent="0.25">
      <c r="A31" s="1">
        <v>45351</v>
      </c>
      <c r="B31">
        <v>10137.6</v>
      </c>
      <c r="C31" s="9">
        <f t="shared" si="0"/>
        <v>2.335381323672836E-3</v>
      </c>
      <c r="D31" s="8">
        <f t="shared" si="1"/>
        <v>7.9838561067397285E-2</v>
      </c>
      <c r="E31" s="10">
        <f>AVERAGE(D31:D33)</f>
        <v>7.6689212354049463E-2</v>
      </c>
    </row>
    <row r="32" spans="1:5" x14ac:dyDescent="0.25">
      <c r="A32" s="1">
        <v>45322</v>
      </c>
      <c r="B32">
        <v>10113.98</v>
      </c>
      <c r="C32" s="9">
        <f t="shared" si="0"/>
        <v>7.6003542647760103E-3</v>
      </c>
      <c r="D32" s="8">
        <f t="shared" si="1"/>
        <v>7.9809319432655679E-2</v>
      </c>
    </row>
    <row r="33" spans="1:5" x14ac:dyDescent="0.25">
      <c r="A33" s="1">
        <v>45291</v>
      </c>
      <c r="B33">
        <v>10037.69</v>
      </c>
      <c r="C33" s="9">
        <f t="shared" si="0"/>
        <v>1.0627115606505866E-2</v>
      </c>
      <c r="D33" s="8">
        <f t="shared" si="1"/>
        <v>7.0419756562095426E-2</v>
      </c>
    </row>
    <row r="34" spans="1:5" x14ac:dyDescent="0.25">
      <c r="A34" s="1">
        <v>45260</v>
      </c>
      <c r="B34">
        <v>9932.14</v>
      </c>
      <c r="C34" s="9">
        <f t="shared" si="0"/>
        <v>9.3863887200729135E-3</v>
      </c>
      <c r="D34" s="8">
        <f t="shared" si="1"/>
        <v>6.5631092127723667E-2</v>
      </c>
      <c r="E34" s="10">
        <f>AVERAGE(D34:D36)</f>
        <v>6.1074447872455938E-2</v>
      </c>
    </row>
    <row r="35" spans="1:5" x14ac:dyDescent="0.25">
      <c r="A35" s="1">
        <v>45230</v>
      </c>
      <c r="B35">
        <v>9839.7800000000007</v>
      </c>
      <c r="C35" s="9">
        <f t="shared" si="0"/>
        <v>8.0936154692554663E-3</v>
      </c>
      <c r="D35" s="8">
        <f t="shared" si="1"/>
        <v>6.1535938757500741E-2</v>
      </c>
    </row>
    <row r="36" spans="1:5" x14ac:dyDescent="0.25">
      <c r="A36" s="1">
        <v>45199</v>
      </c>
      <c r="B36">
        <v>9760.7800000000007</v>
      </c>
      <c r="C36" s="9">
        <f t="shared" si="0"/>
        <v>8.1961032616049145E-3</v>
      </c>
      <c r="D36" s="8">
        <f t="shared" si="1"/>
        <v>5.6056312732143398E-2</v>
      </c>
    </row>
    <row r="37" spans="1:5" x14ac:dyDescent="0.25">
      <c r="A37" s="1">
        <v>45169</v>
      </c>
      <c r="B37">
        <v>9681.43</v>
      </c>
      <c r="C37" s="9">
        <f t="shared" si="0"/>
        <v>6.7603120495984825E-3</v>
      </c>
      <c r="D37" s="8">
        <f t="shared" si="1"/>
        <v>5.1467601552640518E-2</v>
      </c>
      <c r="E37" s="10">
        <f>AVERAGE(D37:D39)</f>
        <v>4.8340544080190208E-2</v>
      </c>
    </row>
    <row r="38" spans="1:5" x14ac:dyDescent="0.25">
      <c r="A38" s="1">
        <v>45138</v>
      </c>
      <c r="B38">
        <v>9616.42</v>
      </c>
      <c r="C38" s="9">
        <f t="shared" si="0"/>
        <v>5.501997114117918E-3</v>
      </c>
      <c r="D38" s="8">
        <f t="shared" si="1"/>
        <v>4.7256245310367984E-2</v>
      </c>
    </row>
    <row r="39" spans="1:5" x14ac:dyDescent="0.25">
      <c r="A39" s="1">
        <v>45107</v>
      </c>
      <c r="B39">
        <v>9563.7999999999993</v>
      </c>
      <c r="C39" s="9">
        <f t="shared" si="0"/>
        <v>6.3789173729213999E-3</v>
      </c>
      <c r="D39" s="8">
        <f t="shared" si="1"/>
        <v>4.6297785377562128E-2</v>
      </c>
    </row>
    <row r="40" spans="1:5" x14ac:dyDescent="0.25">
      <c r="A40" s="1">
        <v>45077</v>
      </c>
      <c r="B40">
        <v>9503.18</v>
      </c>
      <c r="C40" s="9">
        <f t="shared" si="0"/>
        <v>5.8403895004233153E-3</v>
      </c>
      <c r="D40" s="8">
        <f t="shared" si="1"/>
        <v>4.5379593318409572E-2</v>
      </c>
      <c r="E40" s="10">
        <f>AVERAGE(D40:D42)</f>
        <v>4.7748022432488359E-2</v>
      </c>
    </row>
    <row r="41" spans="1:5" x14ac:dyDescent="0.25">
      <c r="A41" s="1">
        <v>45046</v>
      </c>
      <c r="B41">
        <v>9448</v>
      </c>
      <c r="C41" s="9">
        <f t="shared" si="0"/>
        <v>3.5135720749619459E-3</v>
      </c>
      <c r="D41" s="8">
        <f t="shared" si="1"/>
        <v>4.724693102779387E-2</v>
      </c>
    </row>
    <row r="42" spans="1:5" x14ac:dyDescent="0.25">
      <c r="A42" s="1">
        <v>45016</v>
      </c>
      <c r="B42">
        <v>9414.92</v>
      </c>
      <c r="C42" s="9">
        <f t="shared" si="0"/>
        <v>2.8600127608764403E-3</v>
      </c>
      <c r="D42" s="8">
        <f t="shared" si="1"/>
        <v>5.061754295126164E-2</v>
      </c>
    </row>
    <row r="43" spans="1:5" x14ac:dyDescent="0.25">
      <c r="A43" s="1">
        <v>44985</v>
      </c>
      <c r="B43">
        <v>9388.07</v>
      </c>
      <c r="C43" s="9">
        <f t="shared" si="0"/>
        <v>2.3082384467967287E-3</v>
      </c>
      <c r="D43" s="8">
        <f t="shared" si="1"/>
        <v>5.5362263773397702E-2</v>
      </c>
      <c r="E43" s="10">
        <f>AVERAGE(D43:D45)</f>
        <v>5.8885470703071263E-2</v>
      </c>
    </row>
    <row r="44" spans="1:5" x14ac:dyDescent="0.25">
      <c r="A44" s="1">
        <v>44957</v>
      </c>
      <c r="B44">
        <v>9366.4500000000007</v>
      </c>
      <c r="C44" s="9">
        <f t="shared" si="0"/>
        <v>-1.1613101369897239E-3</v>
      </c>
      <c r="D44" s="8">
        <f t="shared" si="1"/>
        <v>5.6052901581861159E-2</v>
      </c>
    </row>
    <row r="45" spans="1:5" x14ac:dyDescent="0.25">
      <c r="A45" s="1">
        <v>44926</v>
      </c>
      <c r="B45">
        <v>9377.34</v>
      </c>
      <c r="C45" s="9">
        <f t="shared" si="0"/>
        <v>6.1059414640740606E-3</v>
      </c>
      <c r="D45" s="8">
        <f t="shared" si="1"/>
        <v>6.5241246753954929E-2</v>
      </c>
    </row>
    <row r="46" spans="1:5" x14ac:dyDescent="0.25">
      <c r="A46" s="1">
        <v>44895</v>
      </c>
      <c r="B46">
        <v>9320.43</v>
      </c>
      <c r="C46" s="9">
        <f t="shared" si="0"/>
        <v>5.5073802131320182E-3</v>
      </c>
      <c r="D46" s="8">
        <f t="shared" si="1"/>
        <v>7.1383987226749435E-2</v>
      </c>
      <c r="E46" s="10">
        <f>AVERAGE(D46:D48)</f>
        <v>7.6373673720674454E-2</v>
      </c>
    </row>
    <row r="47" spans="1:5" x14ac:dyDescent="0.25">
      <c r="A47" s="1">
        <v>44865</v>
      </c>
      <c r="B47">
        <v>9269.3799999999992</v>
      </c>
      <c r="C47" s="9">
        <f t="shared" si="0"/>
        <v>2.8898575844424901E-3</v>
      </c>
      <c r="D47" s="8">
        <f t="shared" si="1"/>
        <v>7.6008172172822741E-2</v>
      </c>
    </row>
    <row r="48" spans="1:5" x14ac:dyDescent="0.25">
      <c r="A48" s="1">
        <v>44834</v>
      </c>
      <c r="B48">
        <v>9242.67</v>
      </c>
      <c r="C48" s="9">
        <f t="shared" si="0"/>
        <v>3.8153513316259158E-3</v>
      </c>
      <c r="D48" s="8">
        <f t="shared" si="1"/>
        <v>8.1728861762451199E-2</v>
      </c>
    </row>
    <row r="49" spans="1:5" x14ac:dyDescent="0.25">
      <c r="A49" s="1">
        <v>44804</v>
      </c>
      <c r="B49">
        <v>9207.5400000000009</v>
      </c>
      <c r="C49" s="9">
        <f t="shared" si="0"/>
        <v>2.7280182172810807E-3</v>
      </c>
      <c r="D49" s="8">
        <f t="shared" si="1"/>
        <v>8.5360922932931516E-2</v>
      </c>
      <c r="E49" s="10">
        <f>AVERAGE(D49:D51)</f>
        <v>8.6346434557829824E-2</v>
      </c>
    </row>
    <row r="50" spans="1:5" x14ac:dyDescent="0.25">
      <c r="A50" s="1">
        <v>44773</v>
      </c>
      <c r="B50">
        <v>9182.49</v>
      </c>
      <c r="C50" s="9">
        <f t="shared" si="0"/>
        <v>4.5817511085144424E-3</v>
      </c>
      <c r="D50" s="8">
        <f t="shared" si="1"/>
        <v>8.6403642132985459E-2</v>
      </c>
    </row>
    <row r="51" spans="1:5" x14ac:dyDescent="0.25">
      <c r="A51" s="1">
        <v>44742</v>
      </c>
      <c r="B51">
        <v>9140.61</v>
      </c>
      <c r="C51" s="9">
        <f t="shared" si="0"/>
        <v>5.4957566290640969E-3</v>
      </c>
      <c r="D51" s="8">
        <f t="shared" si="1"/>
        <v>8.7274738607572511E-2</v>
      </c>
    </row>
    <row r="52" spans="1:5" x14ac:dyDescent="0.25">
      <c r="A52" s="1">
        <v>44712</v>
      </c>
      <c r="B52">
        <v>9090.65</v>
      </c>
      <c r="C52" s="9">
        <f t="shared" si="0"/>
        <v>7.6370992324106268E-3</v>
      </c>
      <c r="D52" s="8">
        <f t="shared" si="1"/>
        <v>9.2028998564487097E-2</v>
      </c>
      <c r="E52" s="10">
        <f>AVERAGE(D52:D54)</f>
        <v>9.3481604620858708E-2</v>
      </c>
    </row>
    <row r="53" spans="1:5" x14ac:dyDescent="0.25">
      <c r="A53" s="1">
        <v>44681</v>
      </c>
      <c r="B53">
        <v>9021.75</v>
      </c>
      <c r="C53" s="9">
        <f t="shared" si="0"/>
        <v>6.7434261916772265E-3</v>
      </c>
      <c r="D53" s="8">
        <f t="shared" si="1"/>
        <v>9.390478569323979E-2</v>
      </c>
    </row>
    <row r="54" spans="1:5" x14ac:dyDescent="0.25">
      <c r="A54" s="1">
        <v>44651</v>
      </c>
      <c r="B54">
        <v>8961.32</v>
      </c>
      <c r="C54" s="9">
        <f t="shared" si="0"/>
        <v>7.3890545764812021E-3</v>
      </c>
      <c r="D54" s="8">
        <f t="shared" si="1"/>
        <v>9.451102960484925E-2</v>
      </c>
    </row>
    <row r="55" spans="1:5" x14ac:dyDescent="0.25">
      <c r="A55" s="1">
        <v>44620</v>
      </c>
      <c r="B55">
        <v>8895.59</v>
      </c>
      <c r="C55" s="9">
        <f t="shared" si="0"/>
        <v>2.9641572615652922E-3</v>
      </c>
      <c r="D55" s="8">
        <f t="shared" si="1"/>
        <v>9.3906135674715285E-2</v>
      </c>
      <c r="E55" s="10">
        <f>AVERAGE(D55:D57)</f>
        <v>9.4231068218857114E-2</v>
      </c>
    </row>
    <row r="56" spans="1:5" x14ac:dyDescent="0.25">
      <c r="A56" s="1">
        <v>44592</v>
      </c>
      <c r="B56">
        <v>8869.2999999999993</v>
      </c>
      <c r="C56" s="9">
        <f t="shared" si="0"/>
        <v>7.5292342855064476E-3</v>
      </c>
      <c r="D56" s="8">
        <f t="shared" si="1"/>
        <v>9.4197212846173439E-2</v>
      </c>
    </row>
    <row r="57" spans="1:5" x14ac:dyDescent="0.25">
      <c r="A57" s="1">
        <v>44561</v>
      </c>
      <c r="B57">
        <v>8803.02</v>
      </c>
      <c r="C57" s="9">
        <f t="shared" si="0"/>
        <v>1.1907676709853376E-2</v>
      </c>
      <c r="D57" s="8">
        <f t="shared" si="1"/>
        <v>9.4589856135682604E-2</v>
      </c>
    </row>
    <row r="58" spans="1:5" x14ac:dyDescent="0.25">
      <c r="A58" s="1">
        <v>44530</v>
      </c>
      <c r="B58">
        <v>8699.43</v>
      </c>
      <c r="C58" s="9">
        <f t="shared" si="0"/>
        <v>9.8472360875723197E-3</v>
      </c>
      <c r="D58" s="8">
        <f t="shared" si="1"/>
        <v>9.4358776955068002E-2</v>
      </c>
      <c r="E58" s="10">
        <f>AVERAGE(D58:D60)</f>
        <v>9.3953787805037978E-2</v>
      </c>
    </row>
    <row r="59" spans="1:5" x14ac:dyDescent="0.25">
      <c r="A59" s="1">
        <v>44500</v>
      </c>
      <c r="B59">
        <v>8614.6</v>
      </c>
      <c r="C59" s="9">
        <f t="shared" si="0"/>
        <v>8.2218073931896729E-3</v>
      </c>
      <c r="D59" s="8">
        <f t="shared" si="1"/>
        <v>9.3656371558281881E-2</v>
      </c>
    </row>
    <row r="60" spans="1:5" x14ac:dyDescent="0.25">
      <c r="A60" s="1">
        <v>44469</v>
      </c>
      <c r="B60">
        <v>8544.35</v>
      </c>
      <c r="C60" s="9">
        <f t="shared" si="0"/>
        <v>7.1858066174019797E-3</v>
      </c>
      <c r="D60" s="8">
        <f t="shared" si="1"/>
        <v>9.3846214901764036E-2</v>
      </c>
    </row>
    <row r="61" spans="1:5" x14ac:dyDescent="0.25">
      <c r="A61" s="1">
        <v>44439</v>
      </c>
      <c r="B61">
        <v>8483.39</v>
      </c>
      <c r="C61" s="9">
        <f t="shared" si="0"/>
        <v>3.6913509989717763E-3</v>
      </c>
      <c r="D61" s="8">
        <f t="shared" si="1"/>
        <v>9.6365346987621558E-2</v>
      </c>
      <c r="E61" s="10">
        <f>AVERAGE(D61:D63)</f>
        <v>0.10083057604425612</v>
      </c>
    </row>
    <row r="62" spans="1:5" x14ac:dyDescent="0.25">
      <c r="A62" s="1">
        <v>44408</v>
      </c>
      <c r="B62">
        <v>8452.19</v>
      </c>
      <c r="C62" s="9">
        <f t="shared" si="0"/>
        <v>5.3872414326328055E-3</v>
      </c>
      <c r="D62" s="8">
        <f t="shared" si="1"/>
        <v>0.10196751276712535</v>
      </c>
    </row>
    <row r="63" spans="1:5" x14ac:dyDescent="0.25">
      <c r="A63" s="1">
        <v>44377</v>
      </c>
      <c r="B63">
        <v>8406.9</v>
      </c>
      <c r="C63" s="9">
        <f t="shared" si="0"/>
        <v>9.8924266176549924E-3</v>
      </c>
      <c r="D63" s="8">
        <f t="shared" si="1"/>
        <v>0.10415886837802146</v>
      </c>
    </row>
    <row r="64" spans="1:5" x14ac:dyDescent="0.25">
      <c r="A64" s="1">
        <v>44347</v>
      </c>
      <c r="B64">
        <v>8324.5499999999993</v>
      </c>
      <c r="C64" s="9">
        <f t="shared" si="0"/>
        <v>9.3679257065046873E-3</v>
      </c>
      <c r="D64" s="8">
        <f t="shared" si="1"/>
        <v>9.9911738046979615E-2</v>
      </c>
      <c r="E64" s="10">
        <f>AVERAGE(D64:D66)</f>
        <v>9.5834951309386199E-2</v>
      </c>
    </row>
    <row r="65" spans="1:5" x14ac:dyDescent="0.25">
      <c r="A65" s="1">
        <v>44316</v>
      </c>
      <c r="B65">
        <v>8247.2900000000009</v>
      </c>
      <c r="C65" s="9">
        <f t="shared" si="0"/>
        <v>7.3013651281037539E-3</v>
      </c>
      <c r="D65" s="8">
        <f t="shared" si="1"/>
        <v>9.50700344828046E-2</v>
      </c>
    </row>
    <row r="66" spans="1:5" x14ac:dyDescent="0.25">
      <c r="A66" s="1">
        <v>44286</v>
      </c>
      <c r="B66">
        <v>8187.51</v>
      </c>
      <c r="C66" s="9">
        <f t="shared" si="0"/>
        <v>6.8323095936400069E-3</v>
      </c>
      <c r="D66" s="8">
        <f t="shared" si="1"/>
        <v>9.2523081398374396E-2</v>
      </c>
    </row>
    <row r="67" spans="1:5" x14ac:dyDescent="0.25">
      <c r="A67" s="1">
        <v>44255</v>
      </c>
      <c r="B67">
        <v>8131.95</v>
      </c>
      <c r="C67" s="9">
        <f t="shared" ref="C67:C130" si="2">(B67/B68)-1</f>
        <v>3.2310357079410323E-3</v>
      </c>
      <c r="D67" s="8">
        <f t="shared" ref="D67:D130" si="3">((B67/B79)-1)</f>
        <v>9.0681935234661726E-2</v>
      </c>
      <c r="E67" s="10">
        <f>AVERAGE(D67:D69)</f>
        <v>8.9099685967853004E-2</v>
      </c>
    </row>
    <row r="68" spans="1:5" x14ac:dyDescent="0.25">
      <c r="A68" s="1">
        <v>44227</v>
      </c>
      <c r="B68">
        <v>8105.76</v>
      </c>
      <c r="C68" s="9">
        <f t="shared" si="2"/>
        <v>7.8907775138952196E-3</v>
      </c>
      <c r="D68" s="8">
        <f t="shared" si="3"/>
        <v>9.1659854252495343E-2</v>
      </c>
    </row>
    <row r="69" spans="1:5" x14ac:dyDescent="0.25">
      <c r="A69" s="1">
        <v>44196</v>
      </c>
      <c r="B69">
        <v>8042.3</v>
      </c>
      <c r="C69" s="9">
        <f t="shared" si="2"/>
        <v>1.1694052588013593E-2</v>
      </c>
      <c r="D69" s="8">
        <f t="shared" si="3"/>
        <v>8.4957268416401943E-2</v>
      </c>
    </row>
    <row r="70" spans="1:5" x14ac:dyDescent="0.25">
      <c r="A70" s="1">
        <v>44165</v>
      </c>
      <c r="B70">
        <v>7949.34</v>
      </c>
      <c r="C70" s="9">
        <f t="shared" si="2"/>
        <v>9.1990737449345605E-3</v>
      </c>
      <c r="D70" s="8">
        <f t="shared" si="3"/>
        <v>8.0648932583658794E-2</v>
      </c>
      <c r="E70" s="10">
        <f>AVERAGE(D70:D72)</f>
        <v>7.8392372426534296E-2</v>
      </c>
    </row>
    <row r="71" spans="1:5" x14ac:dyDescent="0.25">
      <c r="A71" s="1">
        <v>44135</v>
      </c>
      <c r="B71">
        <v>7876.88</v>
      </c>
      <c r="C71" s="9">
        <f t="shared" si="2"/>
        <v>8.3968204995590323E-3</v>
      </c>
      <c r="D71" s="8">
        <f t="shared" si="3"/>
        <v>7.8004245296575458E-2</v>
      </c>
    </row>
    <row r="72" spans="1:5" x14ac:dyDescent="0.25">
      <c r="A72" s="1">
        <v>44104</v>
      </c>
      <c r="B72">
        <v>7811.29</v>
      </c>
      <c r="C72" s="9">
        <f t="shared" si="2"/>
        <v>9.5053594460399182E-3</v>
      </c>
      <c r="D72" s="8">
        <f t="shared" si="3"/>
        <v>7.6523939399368635E-2</v>
      </c>
    </row>
    <row r="73" spans="1:5" x14ac:dyDescent="0.25">
      <c r="A73" s="1">
        <v>44074</v>
      </c>
      <c r="B73">
        <v>7737.74</v>
      </c>
      <c r="C73" s="9">
        <f t="shared" si="2"/>
        <v>8.8199747330213185E-3</v>
      </c>
      <c r="D73" s="8">
        <f t="shared" si="3"/>
        <v>7.1786333641758127E-2</v>
      </c>
      <c r="E73" s="10">
        <f>AVERAGE(D73:D75)</f>
        <v>6.7690321296848863E-2</v>
      </c>
    </row>
    <row r="74" spans="1:5" x14ac:dyDescent="0.25">
      <c r="A74" s="1">
        <v>44043</v>
      </c>
      <c r="B74">
        <v>7670.09</v>
      </c>
      <c r="C74" s="9">
        <f t="shared" si="2"/>
        <v>7.3865390045770862E-3</v>
      </c>
      <c r="D74" s="8">
        <f t="shared" si="3"/>
        <v>6.5399777199323328E-2</v>
      </c>
    </row>
    <row r="75" spans="1:5" x14ac:dyDescent="0.25">
      <c r="A75" s="1">
        <v>44012</v>
      </c>
      <c r="B75">
        <v>7613.85</v>
      </c>
      <c r="C75" s="9">
        <f t="shared" si="2"/>
        <v>6.0078907243030777E-3</v>
      </c>
      <c r="D75" s="8">
        <f t="shared" si="3"/>
        <v>6.588485304946512E-2</v>
      </c>
    </row>
    <row r="76" spans="1:5" x14ac:dyDescent="0.25">
      <c r="A76" s="1">
        <v>43982</v>
      </c>
      <c r="B76">
        <v>7568.38</v>
      </c>
      <c r="C76" s="9">
        <f t="shared" si="2"/>
        <v>4.9247871214626038E-3</v>
      </c>
      <c r="D76" s="8">
        <f t="shared" si="3"/>
        <v>6.5949496699356125E-2</v>
      </c>
      <c r="E76" s="10">
        <f>AVERAGE(D76:D78)</f>
        <v>6.6637267419697555E-2</v>
      </c>
    </row>
    <row r="77" spans="1:5" x14ac:dyDescent="0.25">
      <c r="A77" s="1">
        <v>43951</v>
      </c>
      <c r="B77">
        <v>7531.29</v>
      </c>
      <c r="C77" s="9">
        <f t="shared" si="2"/>
        <v>4.958547556554338E-3</v>
      </c>
      <c r="D77" s="8">
        <f t="shared" si="3"/>
        <v>6.7309777178788499E-2</v>
      </c>
    </row>
    <row r="78" spans="1:5" x14ac:dyDescent="0.25">
      <c r="A78" s="1">
        <v>43921</v>
      </c>
      <c r="B78">
        <v>7494.13</v>
      </c>
      <c r="C78" s="9">
        <f t="shared" si="2"/>
        <v>5.1355715787892997E-3</v>
      </c>
      <c r="D78" s="8">
        <f t="shared" si="3"/>
        <v>6.665252838094804E-2</v>
      </c>
    </row>
    <row r="79" spans="1:5" x14ac:dyDescent="0.25">
      <c r="A79" s="1">
        <v>43890</v>
      </c>
      <c r="B79">
        <v>7455.84</v>
      </c>
      <c r="C79" s="9">
        <f t="shared" si="2"/>
        <v>4.1305451592354991E-3</v>
      </c>
      <c r="D79" s="8">
        <f t="shared" si="3"/>
        <v>6.4522346739616099E-2</v>
      </c>
      <c r="E79" s="10">
        <f>AVERAGE(D79:D81)</f>
        <v>6.2802506964891272E-2</v>
      </c>
    </row>
    <row r="80" spans="1:5" x14ac:dyDescent="0.25">
      <c r="A80" s="1">
        <v>43861</v>
      </c>
      <c r="B80">
        <v>7425.17</v>
      </c>
      <c r="C80" s="9">
        <f t="shared" si="2"/>
        <v>1.7025180268599449E-3</v>
      </c>
      <c r="D80" s="8">
        <f t="shared" si="3"/>
        <v>6.1522581678182364E-2</v>
      </c>
    </row>
    <row r="81" spans="1:5" x14ac:dyDescent="0.25">
      <c r="A81" s="1">
        <v>43830</v>
      </c>
      <c r="B81">
        <v>7412.55</v>
      </c>
      <c r="C81" s="9">
        <f t="shared" si="2"/>
        <v>7.6766429946384385E-3</v>
      </c>
      <c r="D81" s="8">
        <f t="shared" si="3"/>
        <v>6.2362592476875367E-2</v>
      </c>
    </row>
    <row r="82" spans="1:5" x14ac:dyDescent="0.25">
      <c r="A82" s="1">
        <v>43799</v>
      </c>
      <c r="B82">
        <v>7356.08</v>
      </c>
      <c r="C82" s="9">
        <f t="shared" si="2"/>
        <v>6.7292466993571498E-3</v>
      </c>
      <c r="D82" s="8">
        <f t="shared" si="3"/>
        <v>5.9737056682926504E-2</v>
      </c>
      <c r="E82" s="10">
        <f>AVERAGE(D82:D84)</f>
        <v>5.8004524419932313E-2</v>
      </c>
    </row>
    <row r="83" spans="1:5" x14ac:dyDescent="0.25">
      <c r="A83" s="1">
        <v>43769</v>
      </c>
      <c r="B83">
        <v>7306.91</v>
      </c>
      <c r="C83" s="9">
        <f t="shared" si="2"/>
        <v>7.0120989025679314E-3</v>
      </c>
      <c r="D83" s="8">
        <f t="shared" si="3"/>
        <v>5.8176530986113306E-2</v>
      </c>
    </row>
    <row r="84" spans="1:5" x14ac:dyDescent="0.25">
      <c r="A84" s="1">
        <v>43738</v>
      </c>
      <c r="B84">
        <v>7256.03</v>
      </c>
      <c r="C84" s="9">
        <f t="shared" si="2"/>
        <v>5.062691495786531E-3</v>
      </c>
      <c r="D84" s="8">
        <f t="shared" si="3"/>
        <v>5.6099985590757129E-2</v>
      </c>
    </row>
    <row r="85" spans="1:5" x14ac:dyDescent="0.25">
      <c r="A85" s="1">
        <v>43708</v>
      </c>
      <c r="B85">
        <v>7219.48</v>
      </c>
      <c r="C85" s="9">
        <f t="shared" si="2"/>
        <v>2.8086219972607296E-3</v>
      </c>
      <c r="D85" s="8">
        <f t="shared" si="3"/>
        <v>5.5987455954691567E-2</v>
      </c>
      <c r="E85" s="10">
        <f>AVERAGE(D85:D87)</f>
        <v>5.4958358648578377E-2</v>
      </c>
    </row>
    <row r="86" spans="1:5" x14ac:dyDescent="0.25">
      <c r="A86" s="1">
        <v>43677</v>
      </c>
      <c r="B86">
        <v>7199.26</v>
      </c>
      <c r="C86" s="9">
        <f t="shared" si="2"/>
        <v>7.8452014637655498E-3</v>
      </c>
      <c r="D86" s="8">
        <f t="shared" si="3"/>
        <v>5.5986223830485127E-2</v>
      </c>
    </row>
    <row r="87" spans="1:5" x14ac:dyDescent="0.25">
      <c r="A87" s="1">
        <v>43646</v>
      </c>
      <c r="B87">
        <v>7143.22</v>
      </c>
      <c r="C87" s="9">
        <f t="shared" si="2"/>
        <v>6.0689029637486236E-3</v>
      </c>
      <c r="D87" s="8">
        <f t="shared" si="3"/>
        <v>5.2901396160558445E-2</v>
      </c>
    </row>
    <row r="88" spans="1:5" x14ac:dyDescent="0.25">
      <c r="A88" s="1">
        <v>43616</v>
      </c>
      <c r="B88">
        <v>7100.13</v>
      </c>
      <c r="C88" s="9">
        <f t="shared" si="2"/>
        <v>6.2071926908180419E-3</v>
      </c>
      <c r="D88" s="8">
        <f t="shared" si="3"/>
        <v>5.1581342030196264E-2</v>
      </c>
      <c r="E88" s="10">
        <f>AVERAGE(D88:D90)</f>
        <v>5.0184685615220458E-2</v>
      </c>
    </row>
    <row r="89" spans="1:5" x14ac:dyDescent="0.25">
      <c r="A89" s="1">
        <v>43585</v>
      </c>
      <c r="B89">
        <v>7056.33</v>
      </c>
      <c r="C89" s="9">
        <f t="shared" si="2"/>
        <v>4.3396946130285219E-3</v>
      </c>
      <c r="D89" s="8">
        <f t="shared" si="3"/>
        <v>5.0294488444472929E-2</v>
      </c>
    </row>
    <row r="90" spans="1:5" x14ac:dyDescent="0.25">
      <c r="A90" s="1">
        <v>43555</v>
      </c>
      <c r="B90">
        <v>7025.84</v>
      </c>
      <c r="C90" s="9">
        <f t="shared" si="2"/>
        <v>3.1282437146002984E-3</v>
      </c>
      <c r="D90" s="8">
        <f t="shared" si="3"/>
        <v>4.8678226370992173E-2</v>
      </c>
    </row>
    <row r="91" spans="1:5" x14ac:dyDescent="0.25">
      <c r="A91" s="1">
        <v>43524</v>
      </c>
      <c r="B91">
        <v>7003.93</v>
      </c>
      <c r="C91" s="9">
        <f t="shared" si="2"/>
        <v>1.3009608525154093E-3</v>
      </c>
      <c r="D91" s="8">
        <f t="shared" si="3"/>
        <v>4.8864642096072997E-2</v>
      </c>
      <c r="E91" s="10">
        <f>AVERAGE(D91:D93)</f>
        <v>4.8872324359543841E-2</v>
      </c>
    </row>
    <row r="92" spans="1:5" x14ac:dyDescent="0.25">
      <c r="A92" s="1">
        <v>43496</v>
      </c>
      <c r="B92">
        <v>6994.83</v>
      </c>
      <c r="C92" s="9">
        <f t="shared" si="2"/>
        <v>2.4951916324371659E-3</v>
      </c>
      <c r="D92" s="8">
        <f t="shared" si="3"/>
        <v>4.8165852488986083E-2</v>
      </c>
    </row>
    <row r="93" spans="1:5" x14ac:dyDescent="0.25">
      <c r="A93" s="1">
        <v>43465</v>
      </c>
      <c r="B93">
        <v>6977.42</v>
      </c>
      <c r="C93" s="9">
        <f t="shared" si="2"/>
        <v>5.1862587193973742E-3</v>
      </c>
      <c r="D93" s="8">
        <f t="shared" si="3"/>
        <v>4.958647849357245E-2</v>
      </c>
    </row>
    <row r="94" spans="1:5" x14ac:dyDescent="0.25">
      <c r="A94" s="1">
        <v>43434</v>
      </c>
      <c r="B94">
        <v>6941.42</v>
      </c>
      <c r="C94" s="9">
        <f t="shared" si="2"/>
        <v>5.2467781480307618E-3</v>
      </c>
      <c r="D94" s="8">
        <f t="shared" si="3"/>
        <v>5.0120118848069328E-2</v>
      </c>
      <c r="E94" s="10">
        <f>AVERAGE(D94:D96)</f>
        <v>4.9458953570446905E-2</v>
      </c>
    </row>
    <row r="95" spans="1:5" x14ac:dyDescent="0.25">
      <c r="A95" s="1">
        <v>43404</v>
      </c>
      <c r="B95">
        <v>6905.19</v>
      </c>
      <c r="C95" s="9">
        <f t="shared" si="2"/>
        <v>5.0359576106271398E-3</v>
      </c>
      <c r="D95" s="8">
        <f t="shared" si="3"/>
        <v>5.033562661709956E-2</v>
      </c>
    </row>
    <row r="96" spans="1:5" x14ac:dyDescent="0.25">
      <c r="A96" s="1">
        <v>43373</v>
      </c>
      <c r="B96">
        <v>6870.59</v>
      </c>
      <c r="C96" s="9">
        <f t="shared" si="2"/>
        <v>4.9555999888835078E-3</v>
      </c>
      <c r="D96" s="8">
        <f t="shared" si="3"/>
        <v>4.7921115246171819E-2</v>
      </c>
    </row>
    <row r="97" spans="1:5" x14ac:dyDescent="0.25">
      <c r="A97" s="1">
        <v>43343</v>
      </c>
      <c r="B97">
        <v>6836.71</v>
      </c>
      <c r="C97" s="9">
        <f t="shared" si="2"/>
        <v>2.8074519220191441E-3</v>
      </c>
      <c r="D97" s="8">
        <f t="shared" si="3"/>
        <v>4.6956545708475295E-2</v>
      </c>
      <c r="E97" s="10">
        <f>AVERAGE(D97:D99)</f>
        <v>4.7042726985017845E-2</v>
      </c>
    </row>
    <row r="98" spans="1:5" x14ac:dyDescent="0.25">
      <c r="A98" s="1">
        <v>43312</v>
      </c>
      <c r="B98">
        <v>6817.57</v>
      </c>
      <c r="C98" s="9">
        <f t="shared" si="2"/>
        <v>4.9010070279704721E-3</v>
      </c>
      <c r="D98" s="8">
        <f t="shared" si="3"/>
        <v>4.7702838104487943E-2</v>
      </c>
    </row>
    <row r="99" spans="1:5" x14ac:dyDescent="0.25">
      <c r="A99" s="1">
        <v>43281</v>
      </c>
      <c r="B99">
        <v>6784.32</v>
      </c>
      <c r="C99" s="9">
        <f t="shared" si="2"/>
        <v>4.80756413788197E-3</v>
      </c>
      <c r="D99" s="8">
        <f t="shared" si="3"/>
        <v>4.646879714209029E-2</v>
      </c>
    </row>
    <row r="100" spans="1:5" x14ac:dyDescent="0.25">
      <c r="A100" s="1">
        <v>43251</v>
      </c>
      <c r="B100">
        <v>6751.86</v>
      </c>
      <c r="C100" s="9">
        <f t="shared" si="2"/>
        <v>4.9758648970070762E-3</v>
      </c>
      <c r="D100" s="8">
        <f t="shared" si="3"/>
        <v>4.7465830993344671E-2</v>
      </c>
      <c r="E100" s="10">
        <f>AVERAGE(D100:D102)</f>
        <v>4.6968833878145176E-2</v>
      </c>
    </row>
    <row r="101" spans="1:5" x14ac:dyDescent="0.25">
      <c r="A101" s="1">
        <v>43220</v>
      </c>
      <c r="B101">
        <v>6718.43</v>
      </c>
      <c r="C101" s="9">
        <f t="shared" si="2"/>
        <v>2.7941507916013908E-3</v>
      </c>
      <c r="D101" s="8">
        <f t="shared" si="3"/>
        <v>4.6334481663063976E-2</v>
      </c>
    </row>
    <row r="102" spans="1:5" x14ac:dyDescent="0.25">
      <c r="A102" s="1">
        <v>43190</v>
      </c>
      <c r="B102">
        <v>6699.71</v>
      </c>
      <c r="C102" s="9">
        <f t="shared" si="2"/>
        <v>3.3065623582020365E-3</v>
      </c>
      <c r="D102" s="8">
        <f t="shared" si="3"/>
        <v>4.7106188978026875E-2</v>
      </c>
    </row>
    <row r="103" spans="1:5" x14ac:dyDescent="0.25">
      <c r="A103" s="1">
        <v>43159</v>
      </c>
      <c r="B103">
        <v>6677.63</v>
      </c>
      <c r="C103" s="9">
        <f t="shared" si="2"/>
        <v>6.3385980160046707E-4</v>
      </c>
      <c r="D103" s="8">
        <f t="shared" si="3"/>
        <v>4.6638986719581554E-2</v>
      </c>
      <c r="E103" s="10">
        <f>AVERAGE(D103:D105)</f>
        <v>4.5503237370942827E-2</v>
      </c>
    </row>
    <row r="104" spans="1:5" x14ac:dyDescent="0.25">
      <c r="A104" s="1">
        <v>43131</v>
      </c>
      <c r="B104">
        <v>6673.4</v>
      </c>
      <c r="C104" s="9">
        <f t="shared" si="2"/>
        <v>3.8539181501193731E-3</v>
      </c>
      <c r="D104" s="8">
        <f t="shared" si="3"/>
        <v>4.546964199550052E-2</v>
      </c>
    </row>
    <row r="105" spans="1:5" x14ac:dyDescent="0.25">
      <c r="A105" s="1">
        <v>43100</v>
      </c>
      <c r="B105">
        <v>6647.78</v>
      </c>
      <c r="C105" s="9">
        <f t="shared" si="2"/>
        <v>5.6973247081746337E-3</v>
      </c>
      <c r="D105" s="8">
        <f t="shared" si="3"/>
        <v>4.4401083397746399E-2</v>
      </c>
    </row>
    <row r="106" spans="1:5" x14ac:dyDescent="0.25">
      <c r="A106" s="1">
        <v>43069</v>
      </c>
      <c r="B106">
        <v>6610.12</v>
      </c>
      <c r="C106" s="9">
        <f t="shared" si="2"/>
        <v>5.4530769195666462E-3</v>
      </c>
      <c r="D106" s="8">
        <f t="shared" si="3"/>
        <v>4.5144356955380438E-2</v>
      </c>
      <c r="E106" s="10">
        <f>AVERAGE(D106:D108)</f>
        <v>4.4489263076465647E-2</v>
      </c>
    </row>
    <row r="107" spans="1:5" x14ac:dyDescent="0.25">
      <c r="A107" s="1">
        <v>43039</v>
      </c>
      <c r="B107">
        <v>6574.27</v>
      </c>
      <c r="C107" s="9">
        <f t="shared" si="2"/>
        <v>2.7255811115858286E-3</v>
      </c>
      <c r="D107" s="8">
        <f t="shared" si="3"/>
        <v>4.3785097698019859E-2</v>
      </c>
    </row>
    <row r="108" spans="1:5" x14ac:dyDescent="0.25">
      <c r="A108" s="1">
        <v>43008</v>
      </c>
      <c r="B108">
        <v>6556.4</v>
      </c>
      <c r="C108" s="9">
        <f t="shared" si="2"/>
        <v>4.0305784921470522E-3</v>
      </c>
      <c r="D108" s="8">
        <f t="shared" si="3"/>
        <v>4.4538334575996652E-2</v>
      </c>
    </row>
    <row r="109" spans="1:5" x14ac:dyDescent="0.25">
      <c r="A109" s="1">
        <v>42978</v>
      </c>
      <c r="B109">
        <v>6530.08</v>
      </c>
      <c r="C109" s="9">
        <f t="shared" si="2"/>
        <v>3.5222739259523905E-3</v>
      </c>
      <c r="D109" s="8">
        <f t="shared" si="3"/>
        <v>4.5702902310446492E-2</v>
      </c>
      <c r="E109" s="10">
        <f>AVERAGE(D109:D111)</f>
        <v>4.52613528524477E-2</v>
      </c>
    </row>
    <row r="110" spans="1:5" x14ac:dyDescent="0.25">
      <c r="A110" s="1">
        <v>42947</v>
      </c>
      <c r="B110">
        <v>6507.16</v>
      </c>
      <c r="C110" s="9">
        <f t="shared" si="2"/>
        <v>3.7173803728485222E-3</v>
      </c>
      <c r="D110" s="8">
        <f t="shared" si="3"/>
        <v>4.4363911830697544E-2</v>
      </c>
    </row>
    <row r="111" spans="1:5" x14ac:dyDescent="0.25">
      <c r="A111" s="1">
        <v>42916</v>
      </c>
      <c r="B111">
        <v>6483.06</v>
      </c>
      <c r="C111" s="9">
        <f t="shared" si="2"/>
        <v>5.7649048232211175E-3</v>
      </c>
      <c r="D111" s="8">
        <f t="shared" si="3"/>
        <v>4.5717244416199065E-2</v>
      </c>
    </row>
    <row r="112" spans="1:5" x14ac:dyDescent="0.25">
      <c r="A112" s="1">
        <v>42886</v>
      </c>
      <c r="B112">
        <v>6445.9</v>
      </c>
      <c r="C112" s="9">
        <f t="shared" si="2"/>
        <v>3.8904082281043806E-3</v>
      </c>
      <c r="D112" s="8">
        <f t="shared" si="3"/>
        <v>4.5182212493412699E-2</v>
      </c>
      <c r="E112" s="10">
        <f>AVERAGE(D112:D114)</f>
        <v>4.5337320358899293E-2</v>
      </c>
    </row>
    <row r="113" spans="1:5" x14ac:dyDescent="0.25">
      <c r="A113" s="1">
        <v>42855</v>
      </c>
      <c r="B113">
        <v>6420.92</v>
      </c>
      <c r="C113" s="9">
        <f t="shared" si="2"/>
        <v>3.5337456297053205E-3</v>
      </c>
      <c r="D113" s="8">
        <f t="shared" si="3"/>
        <v>4.5909159027085478E-2</v>
      </c>
    </row>
    <row r="114" spans="1:5" x14ac:dyDescent="0.25">
      <c r="A114" s="1">
        <v>42825</v>
      </c>
      <c r="B114">
        <v>6398.31</v>
      </c>
      <c r="C114" s="9">
        <f t="shared" si="2"/>
        <v>2.8589028020069573E-3</v>
      </c>
      <c r="D114" s="8">
        <f t="shared" si="3"/>
        <v>4.4920589556199708E-2</v>
      </c>
    </row>
    <row r="115" spans="1:5" x14ac:dyDescent="0.25">
      <c r="A115" s="1">
        <v>42794</v>
      </c>
      <c r="B115">
        <v>6380.07</v>
      </c>
      <c r="C115" s="9">
        <f t="shared" si="2"/>
        <v>-4.8408625195051069E-4</v>
      </c>
      <c r="D115" s="8">
        <f t="shared" si="3"/>
        <v>4.1797162031971924E-2</v>
      </c>
      <c r="E115" s="10">
        <f>AVERAGE(D115:D117)</f>
        <v>3.9960220975151284E-2</v>
      </c>
    </row>
    <row r="116" spans="1:5" x14ac:dyDescent="0.25">
      <c r="A116" s="1">
        <v>42766</v>
      </c>
      <c r="B116">
        <v>6383.16</v>
      </c>
      <c r="C116" s="9">
        <f t="shared" si="2"/>
        <v>2.8278943498671882E-3</v>
      </c>
      <c r="D116" s="8">
        <f t="shared" si="3"/>
        <v>4.0107413695897876E-2</v>
      </c>
    </row>
    <row r="117" spans="1:5" x14ac:dyDescent="0.25">
      <c r="A117" s="1">
        <v>42735</v>
      </c>
      <c r="B117">
        <v>6365.16</v>
      </c>
      <c r="C117" s="9">
        <f t="shared" si="2"/>
        <v>6.4130537899629303E-3</v>
      </c>
      <c r="D117" s="8">
        <f t="shared" si="3"/>
        <v>3.7976087197584052E-2</v>
      </c>
    </row>
    <row r="118" spans="1:5" x14ac:dyDescent="0.25">
      <c r="A118" s="1">
        <v>42704</v>
      </c>
      <c r="B118">
        <v>6324.6</v>
      </c>
      <c r="C118" s="9">
        <f t="shared" si="2"/>
        <v>4.1454380335606E-3</v>
      </c>
      <c r="D118" s="8">
        <f t="shared" si="3"/>
        <v>4.9250712954959974E-2</v>
      </c>
      <c r="E118" s="10">
        <f>AVERAGE(D118:D120)</f>
        <v>4.9789089852095257E-2</v>
      </c>
    </row>
    <row r="119" spans="1:5" x14ac:dyDescent="0.25">
      <c r="A119" s="1">
        <v>42674</v>
      </c>
      <c r="B119">
        <v>6298.49</v>
      </c>
      <c r="C119" s="9">
        <f t="shared" si="2"/>
        <v>3.4491878078777294E-3</v>
      </c>
      <c r="D119" s="8">
        <f t="shared" si="3"/>
        <v>5.0061601711177017E-2</v>
      </c>
    </row>
    <row r="120" spans="1:5" x14ac:dyDescent="0.25">
      <c r="A120" s="1">
        <v>42643</v>
      </c>
      <c r="B120">
        <v>6276.84</v>
      </c>
      <c r="C120" s="9">
        <f t="shared" si="2"/>
        <v>5.1499836660966469E-3</v>
      </c>
      <c r="D120" s="8">
        <f t="shared" si="3"/>
        <v>5.0054954890148773E-2</v>
      </c>
    </row>
    <row r="121" spans="1:5" x14ac:dyDescent="0.25">
      <c r="A121" s="1">
        <v>42613</v>
      </c>
      <c r="B121">
        <v>6244.68</v>
      </c>
      <c r="C121" s="9">
        <f t="shared" si="2"/>
        <v>2.2372944465667288E-3</v>
      </c>
      <c r="D121" s="8">
        <f t="shared" si="3"/>
        <v>4.7336325396985179E-2</v>
      </c>
      <c r="E121" s="10">
        <f>AVERAGE(D121:D123)</f>
        <v>4.6927225231100822E-2</v>
      </c>
    </row>
    <row r="122" spans="1:5" x14ac:dyDescent="0.25">
      <c r="A122" s="1">
        <v>42582</v>
      </c>
      <c r="B122">
        <v>6230.74</v>
      </c>
      <c r="C122" s="9">
        <f t="shared" si="2"/>
        <v>5.018041399244666E-3</v>
      </c>
      <c r="D122" s="8">
        <f t="shared" si="3"/>
        <v>4.7396193175418766E-2</v>
      </c>
    </row>
    <row r="123" spans="1:5" x14ac:dyDescent="0.25">
      <c r="A123" s="1">
        <v>42551</v>
      </c>
      <c r="B123">
        <v>6199.63</v>
      </c>
      <c r="C123" s="9">
        <f t="shared" si="2"/>
        <v>5.2503141594715252E-3</v>
      </c>
      <c r="D123" s="8">
        <f t="shared" si="3"/>
        <v>4.6049157120898521E-2</v>
      </c>
    </row>
    <row r="124" spans="1:5" x14ac:dyDescent="0.25">
      <c r="A124" s="1">
        <v>42521</v>
      </c>
      <c r="B124">
        <v>6167.25</v>
      </c>
      <c r="C124" s="9">
        <f t="shared" si="2"/>
        <v>4.5886354307160815E-3</v>
      </c>
      <c r="D124" s="8">
        <f t="shared" si="3"/>
        <v>4.3743378497760999E-2</v>
      </c>
      <c r="E124" s="10">
        <f>AVERAGE(D124:D126)</f>
        <v>4.233498932159304E-2</v>
      </c>
    </row>
    <row r="125" spans="1:5" x14ac:dyDescent="0.25">
      <c r="A125" s="1">
        <v>42490</v>
      </c>
      <c r="B125">
        <v>6139.08</v>
      </c>
      <c r="C125" s="9">
        <f t="shared" si="2"/>
        <v>2.585228432613329E-3</v>
      </c>
      <c r="D125" s="8">
        <f t="shared" si="3"/>
        <v>4.1803982527652606E-2</v>
      </c>
    </row>
    <row r="126" spans="1:5" x14ac:dyDescent="0.25">
      <c r="A126" s="1">
        <v>42460</v>
      </c>
      <c r="B126">
        <v>6123.25</v>
      </c>
      <c r="C126" s="9">
        <f t="shared" si="2"/>
        <v>-1.3879590470444736E-4</v>
      </c>
      <c r="D126" s="8">
        <f t="shared" si="3"/>
        <v>4.145760693936551E-2</v>
      </c>
    </row>
    <row r="127" spans="1:5" x14ac:dyDescent="0.25">
      <c r="A127" s="1">
        <v>42429</v>
      </c>
      <c r="B127">
        <v>6124.1</v>
      </c>
      <c r="C127" s="9">
        <f t="shared" si="2"/>
        <v>-2.105256297030178E-3</v>
      </c>
      <c r="D127" s="8">
        <f t="shared" si="3"/>
        <v>4.2833108559129141E-2</v>
      </c>
      <c r="E127" s="10">
        <f>AVERAGE(D127:D129)</f>
        <v>4.4349954057601781E-2</v>
      </c>
    </row>
    <row r="128" spans="1:5" x14ac:dyDescent="0.25">
      <c r="A128" s="1">
        <v>42400</v>
      </c>
      <c r="B128">
        <v>6137.02</v>
      </c>
      <c r="C128" s="9">
        <f t="shared" si="2"/>
        <v>7.729588342346716E-4</v>
      </c>
      <c r="D128" s="8">
        <f t="shared" si="3"/>
        <v>4.5001140864400657E-2</v>
      </c>
    </row>
    <row r="129" spans="1:5" x14ac:dyDescent="0.25">
      <c r="A129" s="1">
        <v>42369</v>
      </c>
      <c r="B129">
        <v>6132.28</v>
      </c>
      <c r="C129" s="9">
        <f t="shared" si="2"/>
        <v>1.7344837940650892E-2</v>
      </c>
      <c r="D129" s="8">
        <f t="shared" si="3"/>
        <v>4.5215612749275547E-2</v>
      </c>
    </row>
    <row r="130" spans="1:5" x14ac:dyDescent="0.25">
      <c r="A130" s="1">
        <v>42338</v>
      </c>
      <c r="B130">
        <v>6027.73</v>
      </c>
      <c r="C130" s="9">
        <f t="shared" si="2"/>
        <v>4.9214682380243069E-3</v>
      </c>
      <c r="D130" s="8">
        <f t="shared" si="3"/>
        <v>3.2002410624553557E-2</v>
      </c>
      <c r="E130" s="10">
        <f>AVERAGE(D130:D132)</f>
        <v>3.0834085773343494E-2</v>
      </c>
    </row>
    <row r="131" spans="1:5" x14ac:dyDescent="0.25">
      <c r="A131" s="1">
        <v>42308</v>
      </c>
      <c r="B131">
        <v>5998.21</v>
      </c>
      <c r="C131" s="9">
        <f t="shared" ref="C131:C194" si="4">(B131/B132)-1</f>
        <v>3.4428360403704339E-3</v>
      </c>
      <c r="D131" s="8">
        <f t="shared" ref="D131:D194" si="5">((B131/B143)-1)</f>
        <v>3.1128752494786971E-2</v>
      </c>
    </row>
    <row r="132" spans="1:5" x14ac:dyDescent="0.25">
      <c r="A132" s="1">
        <v>42277</v>
      </c>
      <c r="B132">
        <v>5977.63</v>
      </c>
      <c r="C132" s="9">
        <f t="shared" si="4"/>
        <v>2.5476147349072775E-3</v>
      </c>
      <c r="D132" s="8">
        <f t="shared" si="5"/>
        <v>2.9371094200689951E-2</v>
      </c>
    </row>
    <row r="133" spans="1:5" x14ac:dyDescent="0.25">
      <c r="A133" s="1">
        <v>42247</v>
      </c>
      <c r="B133">
        <v>5962.44</v>
      </c>
      <c r="C133" s="9">
        <f t="shared" si="4"/>
        <v>2.2945842768025138E-3</v>
      </c>
      <c r="D133" s="8">
        <f t="shared" si="5"/>
        <v>2.9327274987224872E-2</v>
      </c>
      <c r="E133" s="10">
        <f>AVERAGE(D133:D135)</f>
        <v>2.9819617492788941E-2</v>
      </c>
    </row>
    <row r="134" spans="1:5" x14ac:dyDescent="0.25">
      <c r="A134" s="1">
        <v>42216</v>
      </c>
      <c r="B134">
        <v>5948.79</v>
      </c>
      <c r="C134" s="9">
        <f t="shared" si="4"/>
        <v>3.7255070688460012E-3</v>
      </c>
      <c r="D134" s="8">
        <f t="shared" si="5"/>
        <v>2.9515907958132637E-2</v>
      </c>
    </row>
    <row r="135" spans="1:5" x14ac:dyDescent="0.25">
      <c r="A135" s="1">
        <v>42185</v>
      </c>
      <c r="B135">
        <v>5926.71</v>
      </c>
      <c r="C135" s="9">
        <f t="shared" si="4"/>
        <v>3.0344673519746568E-3</v>
      </c>
      <c r="D135" s="8">
        <f t="shared" si="5"/>
        <v>3.0615669533009315E-2</v>
      </c>
    </row>
    <row r="136" spans="1:5" x14ac:dyDescent="0.25">
      <c r="A136" s="1">
        <v>42155</v>
      </c>
      <c r="B136">
        <v>5908.78</v>
      </c>
      <c r="C136" s="9">
        <f t="shared" si="4"/>
        <v>2.7219935038709231E-3</v>
      </c>
      <c r="D136" s="8">
        <f t="shared" si="5"/>
        <v>3.2029203199776424E-2</v>
      </c>
      <c r="E136" s="10">
        <f>AVERAGE(D136:D138)</f>
        <v>3.3667336481436605E-2</v>
      </c>
    </row>
    <row r="137" spans="1:5" x14ac:dyDescent="0.25">
      <c r="A137" s="1">
        <v>42124</v>
      </c>
      <c r="B137">
        <v>5892.74</v>
      </c>
      <c r="C137" s="9">
        <f t="shared" si="4"/>
        <v>2.2518921677012749E-3</v>
      </c>
      <c r="D137" s="8">
        <f t="shared" si="5"/>
        <v>3.3639948359574401E-2</v>
      </c>
    </row>
    <row r="138" spans="1:5" x14ac:dyDescent="0.25">
      <c r="A138" s="1">
        <v>42094</v>
      </c>
      <c r="B138">
        <v>5879.5</v>
      </c>
      <c r="C138" s="9">
        <f t="shared" si="4"/>
        <v>1.1817674063780981E-3</v>
      </c>
      <c r="D138" s="8">
        <f t="shared" si="5"/>
        <v>3.533285788495899E-2</v>
      </c>
    </row>
    <row r="139" spans="1:5" x14ac:dyDescent="0.25">
      <c r="A139" s="1">
        <v>42063</v>
      </c>
      <c r="B139">
        <v>5872.56</v>
      </c>
      <c r="C139" s="9">
        <f t="shared" si="4"/>
        <v>-3.065008837432881E-5</v>
      </c>
      <c r="D139" s="8">
        <f t="shared" si="5"/>
        <v>3.6642671289219164E-2</v>
      </c>
      <c r="E139" s="10">
        <f>AVERAGE(D139:D141)</f>
        <v>3.7215669911770721E-2</v>
      </c>
    </row>
    <row r="140" spans="1:5" x14ac:dyDescent="0.25">
      <c r="A140" s="1">
        <v>42035</v>
      </c>
      <c r="B140">
        <v>5872.74</v>
      </c>
      <c r="C140" s="9">
        <f t="shared" si="4"/>
        <v>9.7835350264174892E-4</v>
      </c>
      <c r="D140" s="8">
        <f t="shared" si="5"/>
        <v>3.6003281204519677E-2</v>
      </c>
    </row>
    <row r="141" spans="1:5" x14ac:dyDescent="0.25">
      <c r="A141" s="1">
        <v>42004</v>
      </c>
      <c r="B141">
        <v>5867</v>
      </c>
      <c r="C141" s="9">
        <f t="shared" si="4"/>
        <v>4.4839671209986331E-3</v>
      </c>
      <c r="D141" s="8">
        <f t="shared" si="5"/>
        <v>3.9001057241573323E-2</v>
      </c>
    </row>
    <row r="142" spans="1:5" x14ac:dyDescent="0.25">
      <c r="A142" s="1">
        <v>41973</v>
      </c>
      <c r="B142">
        <v>5840.81</v>
      </c>
      <c r="C142" s="9">
        <f t="shared" si="4"/>
        <v>4.070735912726775E-3</v>
      </c>
      <c r="D142" s="8">
        <f t="shared" si="5"/>
        <v>4.315080725817988E-2</v>
      </c>
      <c r="E142" s="10">
        <f>AVERAGE(D142:D144)</f>
        <v>4.5150026512421615E-2</v>
      </c>
    </row>
    <row r="143" spans="1:5" x14ac:dyDescent="0.25">
      <c r="A143" s="1">
        <v>41943</v>
      </c>
      <c r="B143">
        <v>5817.13</v>
      </c>
      <c r="C143" s="9">
        <f t="shared" si="4"/>
        <v>1.7323710580379181E-3</v>
      </c>
      <c r="D143" s="8">
        <f t="shared" si="5"/>
        <v>4.5208713651195165E-2</v>
      </c>
    </row>
    <row r="144" spans="1:5" x14ac:dyDescent="0.25">
      <c r="A144" s="1">
        <v>41912</v>
      </c>
      <c r="B144">
        <v>5807.07</v>
      </c>
      <c r="C144" s="9">
        <f t="shared" si="4"/>
        <v>2.5049373679340015E-3</v>
      </c>
      <c r="D144" s="8">
        <f t="shared" si="5"/>
        <v>4.70905586278898E-2</v>
      </c>
    </row>
    <row r="145" spans="1:5" x14ac:dyDescent="0.25">
      <c r="A145" s="1">
        <v>41882</v>
      </c>
      <c r="B145">
        <v>5792.56</v>
      </c>
      <c r="C145" s="9">
        <f t="shared" si="4"/>
        <v>2.4782632773994173E-3</v>
      </c>
      <c r="D145" s="8">
        <f t="shared" si="5"/>
        <v>4.9485182346727941E-2</v>
      </c>
      <c r="E145" s="10">
        <f>AVERAGE(D145:D147)</f>
        <v>4.9123238189811604E-2</v>
      </c>
    </row>
    <row r="146" spans="1:5" x14ac:dyDescent="0.25">
      <c r="A146" s="1">
        <v>41851</v>
      </c>
      <c r="B146">
        <v>5778.24</v>
      </c>
      <c r="C146" s="9">
        <f t="shared" si="4"/>
        <v>4.797718518776195E-3</v>
      </c>
      <c r="D146" s="8">
        <f t="shared" si="5"/>
        <v>4.9270825199612789E-2</v>
      </c>
    </row>
    <row r="147" spans="1:5" x14ac:dyDescent="0.25">
      <c r="A147" s="1">
        <v>41820</v>
      </c>
      <c r="B147">
        <v>5750.65</v>
      </c>
      <c r="C147" s="9">
        <f t="shared" si="4"/>
        <v>4.4101722150418077E-3</v>
      </c>
      <c r="D147" s="8">
        <f t="shared" si="5"/>
        <v>4.8613707023094088E-2</v>
      </c>
    </row>
    <row r="148" spans="1:5" x14ac:dyDescent="0.25">
      <c r="A148" s="1">
        <v>41790</v>
      </c>
      <c r="B148">
        <v>5725.4</v>
      </c>
      <c r="C148" s="9">
        <f t="shared" si="4"/>
        <v>4.286997277651361E-3</v>
      </c>
      <c r="D148" s="8">
        <f t="shared" si="5"/>
        <v>4.7798221887112691E-2</v>
      </c>
      <c r="E148" s="10">
        <f>AVERAGE(D148:D150)</f>
        <v>4.6909115549972714E-2</v>
      </c>
    </row>
    <row r="149" spans="1:5" x14ac:dyDescent="0.25">
      <c r="A149" s="1">
        <v>41759</v>
      </c>
      <c r="B149">
        <v>5700.96</v>
      </c>
      <c r="C149" s="9">
        <f t="shared" si="4"/>
        <v>3.8933939089780267E-3</v>
      </c>
      <c r="D149" s="8">
        <f t="shared" si="5"/>
        <v>4.7250603445425421E-2</v>
      </c>
    </row>
    <row r="150" spans="1:5" x14ac:dyDescent="0.25">
      <c r="A150" s="1">
        <v>41729</v>
      </c>
      <c r="B150">
        <v>5678.85</v>
      </c>
      <c r="C150" s="9">
        <f t="shared" si="4"/>
        <v>2.4483758106825793E-3</v>
      </c>
      <c r="D150" s="8">
        <f t="shared" si="5"/>
        <v>4.5678521317380039E-2</v>
      </c>
    </row>
    <row r="151" spans="1:5" x14ac:dyDescent="0.25">
      <c r="A151" s="1">
        <v>41698</v>
      </c>
      <c r="B151">
        <v>5664.98</v>
      </c>
      <c r="C151" s="9">
        <f t="shared" si="4"/>
        <v>-6.4742046166199607E-4</v>
      </c>
      <c r="D151" s="8">
        <f t="shared" si="5"/>
        <v>4.3414676374539996E-2</v>
      </c>
      <c r="E151" s="10">
        <f>AVERAGE(D151:D153)</f>
        <v>4.2220347209117826E-2</v>
      </c>
    </row>
    <row r="152" spans="1:5" x14ac:dyDescent="0.25">
      <c r="A152" s="1">
        <v>41670</v>
      </c>
      <c r="B152">
        <v>5668.65</v>
      </c>
      <c r="C152" s="9">
        <f t="shared" si="4"/>
        <v>3.874781512262615E-3</v>
      </c>
      <c r="D152" s="8">
        <f t="shared" si="5"/>
        <v>4.1470311027332674E-2</v>
      </c>
    </row>
    <row r="153" spans="1:5" x14ac:dyDescent="0.25">
      <c r="A153" s="1">
        <v>41639</v>
      </c>
      <c r="B153">
        <v>5646.77</v>
      </c>
      <c r="C153" s="9">
        <f t="shared" si="4"/>
        <v>8.4958565509358763E-3</v>
      </c>
      <c r="D153" s="8">
        <f t="shared" si="5"/>
        <v>4.1776054225480808E-2</v>
      </c>
    </row>
    <row r="154" spans="1:5" x14ac:dyDescent="0.25">
      <c r="A154" s="1">
        <v>41608</v>
      </c>
      <c r="B154">
        <v>5599.2</v>
      </c>
      <c r="C154" s="9">
        <f t="shared" si="4"/>
        <v>6.0515459471890409E-3</v>
      </c>
      <c r="D154" s="8">
        <f t="shared" si="5"/>
        <v>3.6224937354953912E-2</v>
      </c>
      <c r="E154" s="10">
        <f>AVERAGE(D154:D156)</f>
        <v>3.3914866917047849E-2</v>
      </c>
    </row>
    <row r="155" spans="1:5" x14ac:dyDescent="0.25">
      <c r="A155" s="1">
        <v>41578</v>
      </c>
      <c r="B155">
        <v>5565.52</v>
      </c>
      <c r="C155" s="9">
        <f t="shared" si="4"/>
        <v>3.5359390974611937E-3</v>
      </c>
      <c r="D155" s="8">
        <f t="shared" si="5"/>
        <v>3.3482445438525188E-2</v>
      </c>
    </row>
    <row r="156" spans="1:5" x14ac:dyDescent="0.25">
      <c r="A156" s="1">
        <v>41547</v>
      </c>
      <c r="B156">
        <v>5545.91</v>
      </c>
      <c r="C156" s="9">
        <f t="shared" si="4"/>
        <v>4.7975968532982805E-3</v>
      </c>
      <c r="D156" s="8">
        <f t="shared" si="5"/>
        <v>3.2037217957664454E-2</v>
      </c>
    </row>
    <row r="157" spans="1:5" x14ac:dyDescent="0.25">
      <c r="A157" s="1">
        <v>41517</v>
      </c>
      <c r="B157">
        <v>5519.43</v>
      </c>
      <c r="C157" s="9">
        <f t="shared" si="4"/>
        <v>2.2735072844843884E-3</v>
      </c>
      <c r="D157" s="8">
        <f t="shared" si="5"/>
        <v>2.8725274028900349E-2</v>
      </c>
      <c r="E157" s="10">
        <f>AVERAGE(D157:D159)</f>
        <v>2.9603441007759173E-2</v>
      </c>
    </row>
    <row r="158" spans="1:5" x14ac:dyDescent="0.25">
      <c r="A158" s="1">
        <v>41486</v>
      </c>
      <c r="B158">
        <v>5506.91</v>
      </c>
      <c r="C158" s="9">
        <f t="shared" si="4"/>
        <v>4.1684521475915393E-3</v>
      </c>
      <c r="D158" s="8">
        <f t="shared" si="5"/>
        <v>2.9192387552306132E-2</v>
      </c>
    </row>
    <row r="159" spans="1:5" x14ac:dyDescent="0.25">
      <c r="A159" s="1">
        <v>41455</v>
      </c>
      <c r="B159">
        <v>5484.05</v>
      </c>
      <c r="C159" s="9">
        <f t="shared" si="4"/>
        <v>3.6290632514797139E-3</v>
      </c>
      <c r="D159" s="8">
        <f t="shared" si="5"/>
        <v>3.0892661442071034E-2</v>
      </c>
    </row>
    <row r="160" spans="1:5" x14ac:dyDescent="0.25">
      <c r="A160" s="1">
        <v>41425</v>
      </c>
      <c r="B160">
        <v>5464.22</v>
      </c>
      <c r="C160" s="9">
        <f t="shared" si="4"/>
        <v>3.7621194252481782E-3</v>
      </c>
      <c r="D160" s="8">
        <f t="shared" si="5"/>
        <v>3.2754227998155416E-2</v>
      </c>
      <c r="E160" s="10">
        <f>AVERAGE(D160:D162)</f>
        <v>3.350549731842508E-2</v>
      </c>
    </row>
    <row r="161" spans="1:5" x14ac:dyDescent="0.25">
      <c r="A161" s="1">
        <v>41394</v>
      </c>
      <c r="B161">
        <v>5443.74</v>
      </c>
      <c r="C161" s="9">
        <f t="shared" si="4"/>
        <v>2.3863975340558952E-3</v>
      </c>
      <c r="D161" s="8">
        <f t="shared" si="5"/>
        <v>3.3456035204489254E-2</v>
      </c>
    </row>
    <row r="162" spans="1:5" x14ac:dyDescent="0.25">
      <c r="A162" s="1">
        <v>41364</v>
      </c>
      <c r="B162">
        <v>5430.78</v>
      </c>
      <c r="C162" s="9">
        <f t="shared" si="4"/>
        <v>2.7812210481314992E-4</v>
      </c>
      <c r="D162" s="8">
        <f t="shared" si="5"/>
        <v>3.4306228752630563E-2</v>
      </c>
    </row>
    <row r="163" spans="1:5" x14ac:dyDescent="0.25">
      <c r="A163" s="1">
        <v>41333</v>
      </c>
      <c r="B163">
        <v>5429.27</v>
      </c>
      <c r="C163" s="9">
        <f t="shared" si="4"/>
        <v>-2.509677691978407E-3</v>
      </c>
      <c r="D163" s="8">
        <f t="shared" si="5"/>
        <v>3.5262778538386108E-2</v>
      </c>
      <c r="E163" s="10">
        <f>AVERAGE(D163:D165)</f>
        <v>3.27468553505584E-2</v>
      </c>
    </row>
    <row r="164" spans="1:5" x14ac:dyDescent="0.25">
      <c r="A164" s="1">
        <v>41305</v>
      </c>
      <c r="B164">
        <v>5442.93</v>
      </c>
      <c r="C164" s="9">
        <f t="shared" si="4"/>
        <v>4.1694878356115517E-3</v>
      </c>
      <c r="D164" s="8">
        <f t="shared" si="5"/>
        <v>3.5236140723932996E-2</v>
      </c>
    </row>
    <row r="165" spans="1:5" x14ac:dyDescent="0.25">
      <c r="A165" s="1">
        <v>41274</v>
      </c>
      <c r="B165">
        <v>5420.33</v>
      </c>
      <c r="C165" s="9">
        <f t="shared" si="4"/>
        <v>3.1220736343009481E-3</v>
      </c>
      <c r="D165" s="8">
        <f t="shared" si="5"/>
        <v>2.7741646789356089E-2</v>
      </c>
    </row>
    <row r="166" spans="1:5" x14ac:dyDescent="0.25">
      <c r="A166" s="1">
        <v>41243</v>
      </c>
      <c r="B166">
        <v>5403.46</v>
      </c>
      <c r="C166" s="9">
        <f t="shared" si="4"/>
        <v>3.3889114816321175E-3</v>
      </c>
      <c r="D166" s="8">
        <f t="shared" si="5"/>
        <v>2.8581979742295704E-2</v>
      </c>
      <c r="E166" s="10">
        <f>AVERAGE(D166:D168)</f>
        <v>2.6246950094514093E-2</v>
      </c>
    </row>
    <row r="167" spans="1:5" x14ac:dyDescent="0.25">
      <c r="A167" s="1">
        <v>41213</v>
      </c>
      <c r="B167">
        <v>5385.21</v>
      </c>
      <c r="C167" s="9">
        <f t="shared" si="4"/>
        <v>2.1325889741801163E-3</v>
      </c>
      <c r="D167" s="8">
        <f t="shared" si="5"/>
        <v>2.5681999554317159E-2</v>
      </c>
    </row>
    <row r="168" spans="1:5" x14ac:dyDescent="0.25">
      <c r="A168" s="1">
        <v>41182</v>
      </c>
      <c r="B168">
        <v>5373.75</v>
      </c>
      <c r="C168" s="9">
        <f t="shared" si="4"/>
        <v>1.5730684713464171E-3</v>
      </c>
      <c r="D168" s="8">
        <f t="shared" si="5"/>
        <v>2.4476870986929411E-2</v>
      </c>
    </row>
    <row r="169" spans="1:5" x14ac:dyDescent="0.25">
      <c r="A169" s="1">
        <v>41152</v>
      </c>
      <c r="B169">
        <v>5365.31</v>
      </c>
      <c r="C169" s="9">
        <f t="shared" si="4"/>
        <v>2.7286098480390208E-3</v>
      </c>
      <c r="D169" s="8">
        <f t="shared" si="5"/>
        <v>2.5321003437923428E-2</v>
      </c>
      <c r="E169" s="10">
        <f>AVERAGE(D169:D171)</f>
        <v>2.2863832521330469E-2</v>
      </c>
    </row>
    <row r="170" spans="1:5" x14ac:dyDescent="0.25">
      <c r="A170" s="1">
        <v>41121</v>
      </c>
      <c r="B170">
        <v>5350.71</v>
      </c>
      <c r="C170" s="9">
        <f t="shared" si="4"/>
        <v>5.8273853273955734E-3</v>
      </c>
      <c r="D170" s="8">
        <f t="shared" si="5"/>
        <v>2.3301401641272479E-2</v>
      </c>
    </row>
    <row r="171" spans="1:5" x14ac:dyDescent="0.25">
      <c r="A171" s="1">
        <v>41090</v>
      </c>
      <c r="B171">
        <v>5319.71</v>
      </c>
      <c r="C171" s="9">
        <f t="shared" si="4"/>
        <v>5.4413977153311421E-3</v>
      </c>
      <c r="D171" s="8">
        <f t="shared" si="5"/>
        <v>1.9969092484795503E-2</v>
      </c>
    </row>
    <row r="172" spans="1:5" x14ac:dyDescent="0.25">
      <c r="A172" s="1">
        <v>41060</v>
      </c>
      <c r="B172">
        <v>5290.92</v>
      </c>
      <c r="C172" s="9">
        <f t="shared" si="4"/>
        <v>4.4442250702894093E-3</v>
      </c>
      <c r="D172" s="8">
        <f t="shared" si="5"/>
        <v>1.6546264986166515E-2</v>
      </c>
      <c r="E172" s="10">
        <f>AVERAGE(D172:D174)</f>
        <v>1.5851215434446564E-2</v>
      </c>
    </row>
    <row r="173" spans="1:5" x14ac:dyDescent="0.25">
      <c r="A173" s="1">
        <v>41029</v>
      </c>
      <c r="B173">
        <v>5267.51</v>
      </c>
      <c r="C173" s="9">
        <f t="shared" si="4"/>
        <v>3.2110310152078103E-3</v>
      </c>
      <c r="D173" s="8">
        <f t="shared" si="5"/>
        <v>1.5002938541134769E-2</v>
      </c>
    </row>
    <row r="174" spans="1:5" x14ac:dyDescent="0.25">
      <c r="A174" s="1">
        <v>40999</v>
      </c>
      <c r="B174">
        <v>5250.65</v>
      </c>
      <c r="C174" s="9">
        <f t="shared" si="4"/>
        <v>1.2032019281738027E-3</v>
      </c>
      <c r="D174" s="8">
        <f t="shared" si="5"/>
        <v>1.6004442776038408E-2</v>
      </c>
    </row>
    <row r="175" spans="1:5" x14ac:dyDescent="0.25">
      <c r="A175" s="1">
        <v>40968</v>
      </c>
      <c r="B175">
        <v>5244.34</v>
      </c>
      <c r="C175" s="9">
        <f t="shared" si="4"/>
        <v>-2.5353436027746312E-3</v>
      </c>
      <c r="D175" s="8">
        <f t="shared" si="5"/>
        <v>2.1503952130332848E-2</v>
      </c>
      <c r="E175" s="10">
        <f>AVERAGE(D175:D177)</f>
        <v>2.5640988149673822E-2</v>
      </c>
    </row>
    <row r="176" spans="1:5" x14ac:dyDescent="0.25">
      <c r="A176" s="1">
        <v>40939</v>
      </c>
      <c r="B176">
        <v>5257.67</v>
      </c>
      <c r="C176" s="9">
        <f t="shared" si="4"/>
        <v>-3.1001020094729714E-3</v>
      </c>
      <c r="D176" s="8">
        <f t="shared" si="5"/>
        <v>2.3171681002607691E-2</v>
      </c>
    </row>
    <row r="177" spans="1:5" x14ac:dyDescent="0.25">
      <c r="A177" s="1">
        <v>40908</v>
      </c>
      <c r="B177">
        <v>5274.02</v>
      </c>
      <c r="C177" s="9">
        <f t="shared" si="4"/>
        <v>3.942276393359645E-3</v>
      </c>
      <c r="D177" s="8">
        <f t="shared" si="5"/>
        <v>3.2247331316080929E-2</v>
      </c>
    </row>
    <row r="178" spans="1:5" x14ac:dyDescent="0.25">
      <c r="A178" s="1">
        <v>40877</v>
      </c>
      <c r="B178">
        <v>5253.31</v>
      </c>
      <c r="C178" s="9">
        <f t="shared" si="4"/>
        <v>5.5996053611462315E-4</v>
      </c>
      <c r="D178" s="8">
        <f t="shared" si="5"/>
        <v>3.8064054632974242E-2</v>
      </c>
      <c r="E178" s="10">
        <f>AVERAGE(D178:D180)</f>
        <v>4.271375526283272E-2</v>
      </c>
    </row>
    <row r="179" spans="1:5" x14ac:dyDescent="0.25">
      <c r="A179" s="1">
        <v>40847</v>
      </c>
      <c r="B179">
        <v>5250.37</v>
      </c>
      <c r="C179" s="9">
        <f t="shared" si="4"/>
        <v>9.5512986715884374E-4</v>
      </c>
      <c r="D179" s="8">
        <f t="shared" si="5"/>
        <v>4.3180662184286289E-2</v>
      </c>
    </row>
    <row r="180" spans="1:5" x14ac:dyDescent="0.25">
      <c r="A180" s="1">
        <v>40816</v>
      </c>
      <c r="B180">
        <v>5245.36</v>
      </c>
      <c r="C180" s="9">
        <f t="shared" si="4"/>
        <v>2.3983290048747996E-3</v>
      </c>
      <c r="D180" s="8">
        <f t="shared" si="5"/>
        <v>4.6896548971237628E-2</v>
      </c>
    </row>
    <row r="181" spans="1:5" x14ac:dyDescent="0.25">
      <c r="A181" s="1">
        <v>40786</v>
      </c>
      <c r="B181">
        <v>5232.8100000000004</v>
      </c>
      <c r="C181" s="9">
        <f t="shared" si="4"/>
        <v>7.5350888432890173E-4</v>
      </c>
      <c r="D181" s="8">
        <f t="shared" si="5"/>
        <v>4.7328644567823597E-2</v>
      </c>
      <c r="E181" s="10">
        <f>AVERAGE(D181:D183)</f>
        <v>4.9566039752382197E-2</v>
      </c>
    </row>
    <row r="182" spans="1:5" x14ac:dyDescent="0.25">
      <c r="A182" s="1">
        <v>40755</v>
      </c>
      <c r="B182">
        <v>5228.87</v>
      </c>
      <c r="C182" s="9">
        <f t="shared" si="4"/>
        <v>2.5519790779895413E-3</v>
      </c>
      <c r="D182" s="8">
        <f t="shared" si="5"/>
        <v>4.8988099536981133E-2</v>
      </c>
    </row>
    <row r="183" spans="1:5" x14ac:dyDescent="0.25">
      <c r="A183" s="1">
        <v>40724</v>
      </c>
      <c r="B183">
        <v>5215.5600000000004</v>
      </c>
      <c r="C183" s="9">
        <f t="shared" si="4"/>
        <v>2.0673224715648253E-3</v>
      </c>
      <c r="D183" s="8">
        <f t="shared" si="5"/>
        <v>5.2381375152341869E-2</v>
      </c>
    </row>
    <row r="184" spans="1:5" x14ac:dyDescent="0.25">
      <c r="A184" s="1">
        <v>40694</v>
      </c>
      <c r="B184">
        <v>5204.8</v>
      </c>
      <c r="C184" s="9">
        <f t="shared" si="4"/>
        <v>2.9192720125634786E-3</v>
      </c>
      <c r="D184" s="8">
        <f t="shared" si="5"/>
        <v>5.5853874757326727E-2</v>
      </c>
      <c r="E184" s="10">
        <f>AVERAGE(D184:D186)</f>
        <v>5.9250244161747068E-2</v>
      </c>
    </row>
    <row r="185" spans="1:5" x14ac:dyDescent="0.25">
      <c r="A185" s="1">
        <v>40663</v>
      </c>
      <c r="B185">
        <v>5189.6499999999996</v>
      </c>
      <c r="C185" s="9">
        <f t="shared" si="4"/>
        <v>4.2009001652496547E-3</v>
      </c>
      <c r="D185" s="8">
        <f t="shared" si="5"/>
        <v>6.0068469925933066E-2</v>
      </c>
    </row>
    <row r="186" spans="1:5" x14ac:dyDescent="0.25">
      <c r="A186" s="1">
        <v>40633</v>
      </c>
      <c r="B186">
        <v>5167.9399999999996</v>
      </c>
      <c r="C186" s="9">
        <f t="shared" si="4"/>
        <v>6.6225939531820988E-3</v>
      </c>
      <c r="D186" s="8">
        <f t="shared" si="5"/>
        <v>6.182838780198141E-2</v>
      </c>
    </row>
    <row r="187" spans="1:5" x14ac:dyDescent="0.25">
      <c r="A187" s="1">
        <v>40602</v>
      </c>
      <c r="B187">
        <v>5133.9399999999996</v>
      </c>
      <c r="C187" s="9">
        <f t="shared" si="4"/>
        <v>-9.0686179114951582E-4</v>
      </c>
      <c r="D187" s="8">
        <f t="shared" si="5"/>
        <v>5.9951771011404587E-2</v>
      </c>
      <c r="E187" s="10">
        <f>AVERAGE(D187:D189)</f>
        <v>6.0993895673860488E-2</v>
      </c>
    </row>
    <row r="188" spans="1:5" x14ac:dyDescent="0.25">
      <c r="A188" s="1">
        <v>40574</v>
      </c>
      <c r="B188">
        <v>5138.6000000000004</v>
      </c>
      <c r="C188" s="9">
        <f t="shared" si="4"/>
        <v>5.7425145715819248E-3</v>
      </c>
      <c r="D188" s="8">
        <f t="shared" si="5"/>
        <v>6.2280224834774689E-2</v>
      </c>
    </row>
    <row r="189" spans="1:5" x14ac:dyDescent="0.25">
      <c r="A189" s="1">
        <v>40543</v>
      </c>
      <c r="B189">
        <v>5109.26</v>
      </c>
      <c r="C189" s="9">
        <f t="shared" si="4"/>
        <v>9.5995004623883329E-3</v>
      </c>
      <c r="D189" s="8">
        <f t="shared" si="5"/>
        <v>6.0749691175402187E-2</v>
      </c>
    </row>
    <row r="190" spans="1:5" x14ac:dyDescent="0.25">
      <c r="A190" s="1">
        <v>40512</v>
      </c>
      <c r="B190">
        <v>5060.68</v>
      </c>
      <c r="C190" s="9">
        <f t="shared" si="4"/>
        <v>5.4917107751975003E-3</v>
      </c>
      <c r="D190" s="8">
        <f t="shared" si="5"/>
        <v>5.8690872423971863E-2</v>
      </c>
      <c r="E190" s="10">
        <f>AVERAGE(D190:D192)</f>
        <v>5.8494954407409448E-2</v>
      </c>
    </row>
    <row r="191" spans="1:5" x14ac:dyDescent="0.25">
      <c r="A191" s="1">
        <v>40482</v>
      </c>
      <c r="B191">
        <v>5033.04</v>
      </c>
      <c r="C191" s="9">
        <f t="shared" si="4"/>
        <v>4.5206061803571007E-3</v>
      </c>
      <c r="D191" s="8">
        <f t="shared" si="5"/>
        <v>5.8633483934475983E-2</v>
      </c>
    </row>
    <row r="192" spans="1:5" x14ac:dyDescent="0.25">
      <c r="A192" s="1">
        <v>40451</v>
      </c>
      <c r="B192">
        <v>5010.3900000000003</v>
      </c>
      <c r="C192" s="9">
        <f t="shared" si="4"/>
        <v>2.8120584267683491E-3</v>
      </c>
      <c r="D192" s="8">
        <f t="shared" si="5"/>
        <v>5.8160506863780492E-2</v>
      </c>
    </row>
    <row r="193" spans="1:5" x14ac:dyDescent="0.25">
      <c r="A193" s="1">
        <v>40421</v>
      </c>
      <c r="B193">
        <v>4996.34</v>
      </c>
      <c r="C193" s="9">
        <f t="shared" si="4"/>
        <v>2.339167208326387E-3</v>
      </c>
      <c r="D193" s="8">
        <f t="shared" si="5"/>
        <v>6.1578406125969876E-2</v>
      </c>
      <c r="E193" s="10">
        <f>AVERAGE(D193:D195)</f>
        <v>6.8711617220095819E-2</v>
      </c>
    </row>
    <row r="194" spans="1:5" x14ac:dyDescent="0.25">
      <c r="A194" s="1">
        <v>40390</v>
      </c>
      <c r="B194">
        <v>4984.68</v>
      </c>
      <c r="C194" s="9">
        <f t="shared" si="4"/>
        <v>5.7950427364223955E-3</v>
      </c>
      <c r="D194" s="8">
        <f t="shared" si="5"/>
        <v>7.0670968240807985E-2</v>
      </c>
    </row>
    <row r="195" spans="1:5" x14ac:dyDescent="0.25">
      <c r="A195" s="1">
        <v>40359</v>
      </c>
      <c r="B195">
        <v>4955.96</v>
      </c>
      <c r="C195" s="9">
        <f t="shared" ref="C195:C258" si="6">(B195/B196)-1</f>
        <v>5.3738028631880042E-3</v>
      </c>
      <c r="D195" s="8">
        <f t="shared" ref="D195:D258" si="7">((B195/B207)-1)</f>
        <v>7.3885477293509583E-2</v>
      </c>
    </row>
    <row r="196" spans="1:5" x14ac:dyDescent="0.25">
      <c r="A196" s="1">
        <v>40329</v>
      </c>
      <c r="B196">
        <v>4929.47</v>
      </c>
      <c r="C196" s="9">
        <f t="shared" si="6"/>
        <v>6.9225709721831841E-3</v>
      </c>
      <c r="D196" s="8">
        <f t="shared" si="7"/>
        <v>7.5000817786307072E-2</v>
      </c>
      <c r="E196" s="10">
        <f>AVERAGE(D196:D198)</f>
        <v>7.3211797779190249E-2</v>
      </c>
    </row>
    <row r="197" spans="1:5" x14ac:dyDescent="0.25">
      <c r="A197" s="1">
        <v>40298</v>
      </c>
      <c r="B197">
        <v>4895.58</v>
      </c>
      <c r="C197" s="9">
        <f t="shared" si="6"/>
        <v>5.8680671129356377E-3</v>
      </c>
      <c r="D197" s="8">
        <f t="shared" si="7"/>
        <v>7.3507354682525117E-2</v>
      </c>
    </row>
    <row r="198" spans="1:5" x14ac:dyDescent="0.25">
      <c r="A198" s="1">
        <v>40268</v>
      </c>
      <c r="B198">
        <v>4867.0200000000004</v>
      </c>
      <c r="C198" s="9">
        <f t="shared" si="6"/>
        <v>4.84354483066185E-3</v>
      </c>
      <c r="D198" s="8">
        <f t="shared" si="7"/>
        <v>7.1127220868738572E-2</v>
      </c>
    </row>
    <row r="199" spans="1:5" x14ac:dyDescent="0.25">
      <c r="A199" s="1">
        <v>40237</v>
      </c>
      <c r="B199">
        <v>4843.5600000000004</v>
      </c>
      <c r="C199" s="9">
        <f t="shared" si="6"/>
        <v>1.2879005567121293E-3</v>
      </c>
      <c r="D199" s="8">
        <f t="shared" si="7"/>
        <v>6.6567428422948716E-2</v>
      </c>
      <c r="E199" s="10">
        <f>AVERAGE(D199:D201)</f>
        <v>5.9060949110777493E-2</v>
      </c>
    </row>
    <row r="200" spans="1:5" x14ac:dyDescent="0.25">
      <c r="A200" s="1">
        <v>40209</v>
      </c>
      <c r="B200">
        <v>4837.33</v>
      </c>
      <c r="C200" s="9">
        <f t="shared" si="6"/>
        <v>4.2934404617318567E-3</v>
      </c>
      <c r="D200" s="8">
        <f t="shared" si="7"/>
        <v>6.0664465230909626E-2</v>
      </c>
    </row>
    <row r="201" spans="1:5" x14ac:dyDescent="0.25">
      <c r="A201" s="1">
        <v>40178</v>
      </c>
      <c r="B201">
        <v>4816.6499999999996</v>
      </c>
      <c r="C201" s="9">
        <f t="shared" si="6"/>
        <v>7.6399595826890376E-3</v>
      </c>
      <c r="D201" s="8">
        <f t="shared" si="7"/>
        <v>4.995095367847413E-2</v>
      </c>
    </row>
    <row r="202" spans="1:5" x14ac:dyDescent="0.25">
      <c r="A202" s="1">
        <v>40147</v>
      </c>
      <c r="B202">
        <v>4780.13</v>
      </c>
      <c r="C202" s="9">
        <f t="shared" si="6"/>
        <v>5.437206054334176E-3</v>
      </c>
      <c r="D202" s="8">
        <f t="shared" si="7"/>
        <v>4.406124410274348E-2</v>
      </c>
      <c r="E202" s="10">
        <f>AVERAGE(D202:D204)</f>
        <v>3.8720798882965944E-2</v>
      </c>
    </row>
    <row r="203" spans="1:5" x14ac:dyDescent="0.25">
      <c r="A203" s="1">
        <v>40117</v>
      </c>
      <c r="B203">
        <v>4754.28</v>
      </c>
      <c r="C203" s="9">
        <f t="shared" si="6"/>
        <v>4.0718057022175458E-3</v>
      </c>
      <c r="D203" s="8">
        <f t="shared" si="7"/>
        <v>3.9752783482157383E-2</v>
      </c>
    </row>
    <row r="204" spans="1:5" x14ac:dyDescent="0.25">
      <c r="A204" s="1">
        <v>40086</v>
      </c>
      <c r="B204">
        <v>4735</v>
      </c>
      <c r="C204" s="9">
        <f t="shared" si="6"/>
        <v>6.0511800651010805E-3</v>
      </c>
      <c r="D204" s="8">
        <f t="shared" si="7"/>
        <v>3.2348369063996962E-2</v>
      </c>
    </row>
    <row r="205" spans="1:5" x14ac:dyDescent="0.25">
      <c r="A205" s="1">
        <v>40056</v>
      </c>
      <c r="B205">
        <v>4706.5200000000004</v>
      </c>
      <c r="C205" s="9">
        <f t="shared" si="6"/>
        <v>1.0924337258304995E-2</v>
      </c>
      <c r="D205" s="8">
        <f t="shared" si="7"/>
        <v>2.581024825090994E-2</v>
      </c>
      <c r="E205" s="10">
        <f>AVERAGE(D205:D207)</f>
        <v>1.4050211303618795E-2</v>
      </c>
    </row>
    <row r="206" spans="1:5" x14ac:dyDescent="0.25">
      <c r="A206" s="1">
        <v>40025</v>
      </c>
      <c r="B206">
        <v>4655.66</v>
      </c>
      <c r="C206" s="9">
        <f t="shared" si="6"/>
        <v>8.8147727617455818E-3</v>
      </c>
      <c r="D206" s="8">
        <f t="shared" si="7"/>
        <v>1.2302460492098488E-2</v>
      </c>
    </row>
    <row r="207" spans="1:5" x14ac:dyDescent="0.25">
      <c r="A207" s="1">
        <v>39994</v>
      </c>
      <c r="B207">
        <v>4614.9799999999996</v>
      </c>
      <c r="C207" s="9">
        <f t="shared" si="6"/>
        <v>6.4179869372265053E-3</v>
      </c>
      <c r="D207" s="8">
        <f t="shared" si="7"/>
        <v>4.0379251678479555E-3</v>
      </c>
    </row>
    <row r="208" spans="1:5" x14ac:dyDescent="0.25">
      <c r="A208" s="1">
        <v>39964</v>
      </c>
      <c r="B208">
        <v>4585.55</v>
      </c>
      <c r="C208" s="9">
        <f t="shared" si="6"/>
        <v>5.5236867264865097E-3</v>
      </c>
      <c r="D208" s="8">
        <f t="shared" si="7"/>
        <v>5.2217031696308869E-3</v>
      </c>
      <c r="E208" s="10">
        <f>AVERAGE(D208:D210)</f>
        <v>7.2369399727640893E-3</v>
      </c>
    </row>
    <row r="209" spans="1:5" x14ac:dyDescent="0.25">
      <c r="A209" s="1">
        <v>39933</v>
      </c>
      <c r="B209">
        <v>4560.3599999999997</v>
      </c>
      <c r="C209" s="9">
        <f t="shared" si="6"/>
        <v>3.6379001855262327E-3</v>
      </c>
      <c r="D209" s="8">
        <f t="shared" si="7"/>
        <v>6.9420524098460223E-3</v>
      </c>
    </row>
    <row r="210" spans="1:5" x14ac:dyDescent="0.25">
      <c r="A210" s="1">
        <v>39903</v>
      </c>
      <c r="B210">
        <v>4543.83</v>
      </c>
      <c r="C210" s="9">
        <f t="shared" si="6"/>
        <v>5.65922233036531E-4</v>
      </c>
      <c r="D210" s="8">
        <f t="shared" si="7"/>
        <v>9.5470643388153587E-3</v>
      </c>
    </row>
    <row r="211" spans="1:5" x14ac:dyDescent="0.25">
      <c r="A211" s="1">
        <v>39872</v>
      </c>
      <c r="B211">
        <v>4541.26</v>
      </c>
      <c r="C211" s="9">
        <f t="shared" si="6"/>
        <v>-4.2537702876337402E-3</v>
      </c>
      <c r="D211" s="8">
        <f t="shared" si="7"/>
        <v>1.1614748547599696E-2</v>
      </c>
      <c r="E211" s="10">
        <f>AVERAGE(D211:D213)</f>
        <v>1.4572009888610404E-2</v>
      </c>
    </row>
    <row r="212" spans="1:5" x14ac:dyDescent="0.25">
      <c r="A212" s="1">
        <v>39844</v>
      </c>
      <c r="B212">
        <v>4560.66</v>
      </c>
      <c r="C212" s="9">
        <f t="shared" si="6"/>
        <v>-5.8506811989100793E-3</v>
      </c>
      <c r="D212" s="8">
        <f t="shared" si="7"/>
        <v>1.3912602710489885E-2</v>
      </c>
    </row>
    <row r="213" spans="1:5" x14ac:dyDescent="0.25">
      <c r="A213" s="1">
        <v>39813</v>
      </c>
      <c r="B213">
        <v>4587.5</v>
      </c>
      <c r="C213" s="9">
        <f t="shared" si="6"/>
        <v>1.9875939192732783E-3</v>
      </c>
      <c r="D213" s="8">
        <f t="shared" si="7"/>
        <v>1.8188678407741632E-2</v>
      </c>
    </row>
    <row r="214" spans="1:5" x14ac:dyDescent="0.25">
      <c r="A214" s="1">
        <v>39782</v>
      </c>
      <c r="B214">
        <v>4578.3999999999996</v>
      </c>
      <c r="C214" s="9">
        <f t="shared" si="6"/>
        <v>1.2881327760900785E-3</v>
      </c>
      <c r="D214" s="8">
        <f t="shared" si="7"/>
        <v>2.1396589841806701E-2</v>
      </c>
      <c r="E214" s="10">
        <f>AVERAGE(D214:D216)</f>
        <v>2.4886332149961277E-2</v>
      </c>
    </row>
    <row r="215" spans="1:5" x14ac:dyDescent="0.25">
      <c r="A215" s="1">
        <v>39752</v>
      </c>
      <c r="B215">
        <v>4572.51</v>
      </c>
      <c r="C215" s="9">
        <f t="shared" si="6"/>
        <v>-3.0785129822985535E-3</v>
      </c>
      <c r="D215" s="8">
        <f t="shared" si="7"/>
        <v>2.3752804259339788E-2</v>
      </c>
    </row>
    <row r="216" spans="1:5" x14ac:dyDescent="0.25">
      <c r="A216" s="1">
        <v>39721</v>
      </c>
      <c r="B216">
        <v>4586.63</v>
      </c>
      <c r="C216" s="9">
        <f t="shared" si="6"/>
        <v>-3.2039406290196304E-4</v>
      </c>
      <c r="D216" s="8">
        <f t="shared" si="7"/>
        <v>2.950960234873734E-2</v>
      </c>
    </row>
    <row r="217" spans="1:5" x14ac:dyDescent="0.25">
      <c r="A217" s="1">
        <v>39691</v>
      </c>
      <c r="B217">
        <v>4588.1000000000004</v>
      </c>
      <c r="C217" s="9">
        <f t="shared" si="6"/>
        <v>-2.3874340085406898E-3</v>
      </c>
      <c r="D217" s="8">
        <f t="shared" si="7"/>
        <v>3.3968319071882691E-2</v>
      </c>
      <c r="E217" s="10">
        <f>AVERAGE(D217:D219)</f>
        <v>4.0543611727810402E-2</v>
      </c>
    </row>
    <row r="218" spans="1:5" x14ac:dyDescent="0.25">
      <c r="A218" s="1">
        <v>39660</v>
      </c>
      <c r="B218">
        <v>4599.08</v>
      </c>
      <c r="C218" s="9">
        <f t="shared" si="6"/>
        <v>5.7871125789188405E-4</v>
      </c>
      <c r="D218" s="8">
        <f t="shared" si="7"/>
        <v>4.0718329810777609E-2</v>
      </c>
    </row>
    <row r="219" spans="1:5" x14ac:dyDescent="0.25">
      <c r="A219" s="1">
        <v>39629</v>
      </c>
      <c r="B219">
        <v>4596.42</v>
      </c>
      <c r="C219" s="9">
        <f t="shared" si="6"/>
        <v>7.604571072816757E-3</v>
      </c>
      <c r="D219" s="8">
        <f t="shared" si="7"/>
        <v>4.6944186300770907E-2</v>
      </c>
    </row>
    <row r="220" spans="1:5" x14ac:dyDescent="0.25">
      <c r="A220" s="1">
        <v>39599</v>
      </c>
      <c r="B220">
        <v>4561.7299999999996</v>
      </c>
      <c r="C220" s="9">
        <f t="shared" si="6"/>
        <v>7.2445527852114111E-3</v>
      </c>
      <c r="D220" s="8">
        <f t="shared" si="7"/>
        <v>4.4435794992730537E-2</v>
      </c>
      <c r="E220" s="10">
        <f>AVERAGE(D220:D222)</f>
        <v>4.5364542203098303E-2</v>
      </c>
    </row>
    <row r="221" spans="1:5" x14ac:dyDescent="0.25">
      <c r="A221" s="1">
        <v>39568</v>
      </c>
      <c r="B221">
        <v>4528.92</v>
      </c>
      <c r="C221" s="9">
        <f t="shared" si="6"/>
        <v>6.234364099305445E-3</v>
      </c>
      <c r="D221" s="8">
        <f t="shared" si="7"/>
        <v>4.792932541684225E-2</v>
      </c>
    </row>
    <row r="222" spans="1:5" x14ac:dyDescent="0.25">
      <c r="A222" s="1">
        <v>39538</v>
      </c>
      <c r="B222">
        <v>4500.8599999999997</v>
      </c>
      <c r="C222" s="9">
        <f t="shared" si="6"/>
        <v>2.6152118900808485E-3</v>
      </c>
      <c r="D222" s="8">
        <f t="shared" si="7"/>
        <v>4.3728506199722128E-2</v>
      </c>
    </row>
    <row r="223" spans="1:5" x14ac:dyDescent="0.25">
      <c r="A223" s="1">
        <v>39507</v>
      </c>
      <c r="B223">
        <v>4489.12</v>
      </c>
      <c r="C223" s="9">
        <f t="shared" si="6"/>
        <v>-1.9919610144772948E-3</v>
      </c>
      <c r="D223" s="8">
        <f t="shared" si="7"/>
        <v>4.3054774595591816E-2</v>
      </c>
      <c r="E223" s="10">
        <f>AVERAGE(D223:D225)</f>
        <v>4.8671163953402541E-2</v>
      </c>
    </row>
    <row r="224" spans="1:5" x14ac:dyDescent="0.25">
      <c r="A224" s="1">
        <v>39478</v>
      </c>
      <c r="B224">
        <v>4498.08</v>
      </c>
      <c r="C224" s="9">
        <f t="shared" si="6"/>
        <v>-1.6579551886007904E-3</v>
      </c>
      <c r="D224" s="8">
        <f t="shared" si="7"/>
        <v>4.825914705196932E-2</v>
      </c>
    </row>
    <row r="225" spans="1:5" x14ac:dyDescent="0.25">
      <c r="A225" s="1">
        <v>39447</v>
      </c>
      <c r="B225">
        <v>4505.55</v>
      </c>
      <c r="C225" s="9">
        <f t="shared" si="6"/>
        <v>5.1444621181531147E-3</v>
      </c>
      <c r="D225" s="8">
        <f t="shared" si="7"/>
        <v>5.4699570212646487E-2</v>
      </c>
    </row>
    <row r="226" spans="1:5" x14ac:dyDescent="0.25">
      <c r="A226" s="1">
        <v>39416</v>
      </c>
      <c r="B226">
        <v>4482.49</v>
      </c>
      <c r="C226" s="9">
        <f t="shared" si="6"/>
        <v>3.5979598873370211E-3</v>
      </c>
      <c r="D226" s="8">
        <f t="shared" si="7"/>
        <v>6.0113851633394777E-2</v>
      </c>
      <c r="E226" s="10">
        <f>AVERAGE(D226:D228)</f>
        <v>6.6883973021649126E-2</v>
      </c>
    </row>
    <row r="227" spans="1:5" x14ac:dyDescent="0.25">
      <c r="A227" s="1">
        <v>39386</v>
      </c>
      <c r="B227">
        <v>4466.42</v>
      </c>
      <c r="C227" s="9">
        <f t="shared" si="6"/>
        <v>2.5274064231139981E-3</v>
      </c>
      <c r="D227" s="8">
        <f t="shared" si="7"/>
        <v>6.9557825165531328E-2</v>
      </c>
    </row>
    <row r="228" spans="1:5" x14ac:dyDescent="0.25">
      <c r="A228" s="1">
        <v>39355</v>
      </c>
      <c r="B228">
        <v>4455.16</v>
      </c>
      <c r="C228" s="9">
        <f t="shared" si="6"/>
        <v>4.0091315351209467E-3</v>
      </c>
      <c r="D228" s="8">
        <f t="shared" si="7"/>
        <v>7.0980242266021287E-2</v>
      </c>
    </row>
    <row r="229" spans="1:5" x14ac:dyDescent="0.25">
      <c r="A229" s="1">
        <v>39325</v>
      </c>
      <c r="B229">
        <v>4437.37</v>
      </c>
      <c r="C229" s="9">
        <f t="shared" si="6"/>
        <v>4.1252370370705727E-3</v>
      </c>
      <c r="D229" s="8">
        <f t="shared" si="7"/>
        <v>6.9609192520832419E-2</v>
      </c>
      <c r="E229" s="10">
        <f>AVERAGE(D229:D231)</f>
        <v>6.973561935648169E-2</v>
      </c>
    </row>
    <row r="230" spans="1:5" x14ac:dyDescent="0.25">
      <c r="A230" s="1">
        <v>39294</v>
      </c>
      <c r="B230">
        <v>4419.1400000000003</v>
      </c>
      <c r="C230" s="9">
        <f t="shared" si="6"/>
        <v>6.5644417718984105E-3</v>
      </c>
      <c r="D230" s="8">
        <f t="shared" si="7"/>
        <v>6.8348958761441203E-2</v>
      </c>
    </row>
    <row r="231" spans="1:5" x14ac:dyDescent="0.25">
      <c r="A231" s="1">
        <v>39263</v>
      </c>
      <c r="B231">
        <v>4390.32</v>
      </c>
      <c r="C231" s="9">
        <f t="shared" si="6"/>
        <v>5.1904342151958272E-3</v>
      </c>
      <c r="D231" s="8">
        <f t="shared" si="7"/>
        <v>7.1248706787171434E-2</v>
      </c>
    </row>
    <row r="232" spans="1:5" x14ac:dyDescent="0.25">
      <c r="A232" s="1">
        <v>39233</v>
      </c>
      <c r="B232">
        <v>4367.6499999999996</v>
      </c>
      <c r="C232" s="9">
        <f t="shared" si="6"/>
        <v>1.0613682325338214E-2</v>
      </c>
      <c r="D232" s="8">
        <f t="shared" si="7"/>
        <v>7.5510957892144681E-2</v>
      </c>
      <c r="E232" s="10">
        <f>AVERAGE(D232:D234)</f>
        <v>7.5612246870719504E-2</v>
      </c>
    </row>
    <row r="233" spans="1:5" x14ac:dyDescent="0.25">
      <c r="A233" s="1">
        <v>39202</v>
      </c>
      <c r="B233">
        <v>4321.78</v>
      </c>
      <c r="C233" s="9">
        <f t="shared" si="6"/>
        <v>2.2006868740274133E-3</v>
      </c>
      <c r="D233" s="8">
        <f t="shared" si="7"/>
        <v>7.3336826864092597E-2</v>
      </c>
    </row>
    <row r="234" spans="1:5" x14ac:dyDescent="0.25">
      <c r="A234" s="1">
        <v>39172</v>
      </c>
      <c r="B234">
        <v>4312.29</v>
      </c>
      <c r="C234" s="9">
        <f t="shared" si="6"/>
        <v>1.9680191086060006E-3</v>
      </c>
      <c r="D234" s="8">
        <f t="shared" si="7"/>
        <v>7.7988955855921249E-2</v>
      </c>
    </row>
    <row r="235" spans="1:5" x14ac:dyDescent="0.25">
      <c r="A235" s="1">
        <v>39141</v>
      </c>
      <c r="B235">
        <v>4303.82</v>
      </c>
      <c r="C235" s="9">
        <f t="shared" si="6"/>
        <v>2.9876485667674757E-3</v>
      </c>
      <c r="D235" s="8">
        <f t="shared" si="7"/>
        <v>8.4927349177699396E-2</v>
      </c>
      <c r="E235" s="10">
        <f>AVERAGE(D235:D237)</f>
        <v>8.5242189603015037E-2</v>
      </c>
    </row>
    <row r="236" spans="1:5" x14ac:dyDescent="0.25">
      <c r="A236" s="1">
        <v>39113</v>
      </c>
      <c r="B236">
        <v>4291</v>
      </c>
      <c r="C236" s="9">
        <f t="shared" si="6"/>
        <v>4.475781154901437E-3</v>
      </c>
      <c r="D236" s="8">
        <f t="shared" si="7"/>
        <v>8.220304358572128E-2</v>
      </c>
    </row>
    <row r="237" spans="1:5" x14ac:dyDescent="0.25">
      <c r="A237" s="1">
        <v>39082</v>
      </c>
      <c r="B237">
        <v>4271.88</v>
      </c>
      <c r="C237" s="9">
        <f t="shared" si="6"/>
        <v>1.0304353275895073E-2</v>
      </c>
      <c r="D237" s="8">
        <f t="shared" si="7"/>
        <v>8.859617604562442E-2</v>
      </c>
    </row>
    <row r="238" spans="1:5" x14ac:dyDescent="0.25">
      <c r="A238" s="1">
        <v>39051</v>
      </c>
      <c r="B238">
        <v>4228.3100000000004</v>
      </c>
      <c r="C238" s="9">
        <f t="shared" si="6"/>
        <v>1.2538464301536267E-2</v>
      </c>
      <c r="D238" s="8">
        <f t="shared" si="7"/>
        <v>9.1083856084514192E-2</v>
      </c>
      <c r="E238" s="10">
        <f>AVERAGE(D238:D240)</f>
        <v>9.1135594283962382E-2</v>
      </c>
    </row>
    <row r="239" spans="1:5" x14ac:dyDescent="0.25">
      <c r="A239" s="1">
        <v>39021</v>
      </c>
      <c r="B239">
        <v>4175.95</v>
      </c>
      <c r="C239" s="9">
        <f t="shared" si="6"/>
        <v>3.8606790083390852E-3</v>
      </c>
      <c r="D239" s="8">
        <f t="shared" si="7"/>
        <v>8.7928950302727182E-2</v>
      </c>
    </row>
    <row r="240" spans="1:5" x14ac:dyDescent="0.25">
      <c r="A240" s="1">
        <v>38990</v>
      </c>
      <c r="B240">
        <v>4159.8900000000003</v>
      </c>
      <c r="C240" s="9">
        <f t="shared" si="6"/>
        <v>2.7238170077061863E-3</v>
      </c>
      <c r="D240" s="8">
        <f t="shared" si="7"/>
        <v>9.4393976464645757E-2</v>
      </c>
    </row>
    <row r="241" spans="1:5" x14ac:dyDescent="0.25">
      <c r="A241" s="1">
        <v>38960</v>
      </c>
      <c r="B241">
        <v>4148.59</v>
      </c>
      <c r="C241" s="9">
        <f t="shared" si="6"/>
        <v>2.9421577112576092E-3</v>
      </c>
      <c r="D241" s="8">
        <f t="shared" si="7"/>
        <v>0.10146478230048084</v>
      </c>
      <c r="E241" s="10">
        <f>AVERAGE(D241:D243)</f>
        <v>0.10467420132339715</v>
      </c>
    </row>
    <row r="242" spans="1:5" x14ac:dyDescent="0.25">
      <c r="A242" s="1">
        <v>38929</v>
      </c>
      <c r="B242">
        <v>4136.42</v>
      </c>
      <c r="C242" s="9">
        <f t="shared" si="6"/>
        <v>9.2964922212028789E-3</v>
      </c>
      <c r="D242" s="8">
        <f t="shared" si="7"/>
        <v>0.10695361757244237</v>
      </c>
    </row>
    <row r="243" spans="1:5" x14ac:dyDescent="0.25">
      <c r="A243" s="1">
        <v>38898</v>
      </c>
      <c r="B243">
        <v>4098.32</v>
      </c>
      <c r="C243" s="9">
        <f t="shared" si="6"/>
        <v>9.1898547155873089E-3</v>
      </c>
      <c r="D243" s="8">
        <f t="shared" si="7"/>
        <v>0.10560420409726823</v>
      </c>
    </row>
    <row r="244" spans="1:5" x14ac:dyDescent="0.25">
      <c r="A244" s="1">
        <v>38868</v>
      </c>
      <c r="B244">
        <v>4061</v>
      </c>
      <c r="C244" s="9">
        <f t="shared" si="6"/>
        <v>8.5707402725452297E-3</v>
      </c>
      <c r="D244" s="8">
        <f t="shared" si="7"/>
        <v>0.10920219928493191</v>
      </c>
      <c r="E244" s="10">
        <f>AVERAGE(D244:D246)</f>
        <v>0.11084819121840066</v>
      </c>
    </row>
    <row r="245" spans="1:5" x14ac:dyDescent="0.25">
      <c r="A245" s="1">
        <v>38837</v>
      </c>
      <c r="B245">
        <v>4026.49</v>
      </c>
      <c r="C245" s="9">
        <f t="shared" si="6"/>
        <v>6.5444928018079107E-3</v>
      </c>
      <c r="D245" s="8">
        <f t="shared" si="7"/>
        <v>0.11059348564209914</v>
      </c>
    </row>
    <row r="246" spans="1:5" x14ac:dyDescent="0.25">
      <c r="A246" s="1">
        <v>38807</v>
      </c>
      <c r="B246">
        <v>4000.31</v>
      </c>
      <c r="C246" s="9">
        <f t="shared" si="6"/>
        <v>8.4171094955278747E-3</v>
      </c>
      <c r="D246" s="8">
        <f t="shared" si="7"/>
        <v>0.1127488887281709</v>
      </c>
    </row>
    <row r="247" spans="1:5" x14ac:dyDescent="0.25">
      <c r="A247" s="1">
        <v>38776</v>
      </c>
      <c r="B247">
        <v>3966.92</v>
      </c>
      <c r="C247" s="9">
        <f t="shared" si="6"/>
        <v>4.690975672498876E-4</v>
      </c>
      <c r="D247" s="8">
        <f t="shared" si="7"/>
        <v>0.11837160457281404</v>
      </c>
      <c r="E247" s="10">
        <f>AVERAGE(D247:D249)</f>
        <v>0.12184155271147534</v>
      </c>
    </row>
    <row r="248" spans="1:5" x14ac:dyDescent="0.25">
      <c r="A248" s="1">
        <v>38748</v>
      </c>
      <c r="B248">
        <v>3965.06</v>
      </c>
      <c r="C248" s="9">
        <f t="shared" si="6"/>
        <v>1.0409738520619438E-2</v>
      </c>
      <c r="D248" s="8">
        <f t="shared" si="7"/>
        <v>0.12036778023605055</v>
      </c>
    </row>
    <row r="249" spans="1:5" x14ac:dyDescent="0.25">
      <c r="A249" s="1">
        <v>38717</v>
      </c>
      <c r="B249">
        <v>3924.21</v>
      </c>
      <c r="C249" s="9">
        <f t="shared" si="6"/>
        <v>1.2613119398864114E-2</v>
      </c>
      <c r="D249" s="8">
        <f t="shared" si="7"/>
        <v>0.12678527332556144</v>
      </c>
    </row>
    <row r="250" spans="1:5" x14ac:dyDescent="0.25">
      <c r="A250" s="1">
        <v>38686</v>
      </c>
      <c r="B250">
        <v>3875.33</v>
      </c>
      <c r="C250" s="9">
        <f t="shared" si="6"/>
        <v>9.6106751701212634E-3</v>
      </c>
      <c r="D250" s="8">
        <f t="shared" si="7"/>
        <v>0.12972512848618067</v>
      </c>
      <c r="E250" s="10">
        <f>AVERAGE(D250:D252)</f>
        <v>0.13165533200324941</v>
      </c>
    </row>
    <row r="251" spans="1:5" x14ac:dyDescent="0.25">
      <c r="A251" s="1">
        <v>38656</v>
      </c>
      <c r="B251">
        <v>3838.44</v>
      </c>
      <c r="C251" s="9">
        <f t="shared" si="6"/>
        <v>9.8261288209433584E-3</v>
      </c>
      <c r="D251" s="8">
        <f t="shared" si="7"/>
        <v>0.13112203401817601</v>
      </c>
    </row>
    <row r="252" spans="1:5" x14ac:dyDescent="0.25">
      <c r="A252" s="1">
        <v>38625</v>
      </c>
      <c r="B252">
        <v>3801.09</v>
      </c>
      <c r="C252" s="9">
        <f t="shared" si="6"/>
        <v>9.202348112138159E-3</v>
      </c>
      <c r="D252" s="8">
        <f t="shared" si="7"/>
        <v>0.13411883350539155</v>
      </c>
    </row>
    <row r="253" spans="1:5" x14ac:dyDescent="0.25">
      <c r="A253" s="1">
        <v>38595</v>
      </c>
      <c r="B253">
        <v>3766.43</v>
      </c>
      <c r="C253" s="9">
        <f t="shared" si="6"/>
        <v>7.9400336120061255E-3</v>
      </c>
      <c r="D253" s="8">
        <f t="shared" si="7"/>
        <v>0.13357230137662457</v>
      </c>
      <c r="E253" s="10">
        <f>AVERAGE(D253:D255)</f>
        <v>0.13453611672832397</v>
      </c>
    </row>
    <row r="254" spans="1:5" x14ac:dyDescent="0.25">
      <c r="A254" s="1">
        <v>38564</v>
      </c>
      <c r="B254">
        <v>3736.76</v>
      </c>
      <c r="C254" s="9">
        <f t="shared" si="6"/>
        <v>8.0661260473824381E-3</v>
      </c>
      <c r="D254" s="8">
        <f t="shared" si="7"/>
        <v>0.13400785389569014</v>
      </c>
    </row>
    <row r="255" spans="1:5" x14ac:dyDescent="0.25">
      <c r="A255" s="1">
        <v>38533</v>
      </c>
      <c r="B255">
        <v>3706.86</v>
      </c>
      <c r="C255" s="9">
        <f t="shared" si="6"/>
        <v>1.2474086294346876E-2</v>
      </c>
      <c r="D255" s="8">
        <f t="shared" si="7"/>
        <v>0.13602819491265716</v>
      </c>
    </row>
    <row r="256" spans="1:5" x14ac:dyDescent="0.25">
      <c r="A256" s="1">
        <v>38503</v>
      </c>
      <c r="B256">
        <v>3661.19</v>
      </c>
      <c r="C256" s="9">
        <f t="shared" si="6"/>
        <v>9.8358033170322656E-3</v>
      </c>
      <c r="D256" s="8">
        <f t="shared" si="7"/>
        <v>0.13540410039168016</v>
      </c>
      <c r="E256" s="10">
        <f>AVERAGE(D256:D258)</f>
        <v>0.14151895733207551</v>
      </c>
    </row>
    <row r="257" spans="1:5" x14ac:dyDescent="0.25">
      <c r="A257" s="1">
        <v>38472</v>
      </c>
      <c r="B257">
        <v>3625.53</v>
      </c>
      <c r="C257" s="9">
        <f t="shared" si="6"/>
        <v>8.4979610456803467E-3</v>
      </c>
      <c r="D257" s="8">
        <f t="shared" si="7"/>
        <v>0.13976327826592705</v>
      </c>
    </row>
    <row r="258" spans="1:5" x14ac:dyDescent="0.25">
      <c r="A258" s="1">
        <v>38442</v>
      </c>
      <c r="B258">
        <v>3594.98</v>
      </c>
      <c r="C258" s="9">
        <f t="shared" si="6"/>
        <v>1.3512637261950067E-2</v>
      </c>
      <c r="D258" s="8">
        <f t="shared" si="7"/>
        <v>0.14938949333861928</v>
      </c>
    </row>
    <row r="259" spans="1:5" x14ac:dyDescent="0.25">
      <c r="A259" s="1">
        <v>38411</v>
      </c>
      <c r="B259">
        <v>3547.05</v>
      </c>
      <c r="C259" s="9">
        <f t="shared" ref="C259:C316" si="8">(B259/B260)-1</f>
        <v>2.2548296586391015E-3</v>
      </c>
      <c r="D259" s="8">
        <f t="shared" ref="D259:D316" si="9">((B259/B271)-1)</f>
        <v>0.14661016127311699</v>
      </c>
      <c r="E259" s="10">
        <f>AVERAGE(D259:D261)</f>
        <v>0.14830343134878418</v>
      </c>
    </row>
    <row r="260" spans="1:5" x14ac:dyDescent="0.25">
      <c r="A260" s="1">
        <v>38383</v>
      </c>
      <c r="B260">
        <v>3539.07</v>
      </c>
      <c r="C260" s="9">
        <f t="shared" si="8"/>
        <v>1.6197389351817471E-2</v>
      </c>
      <c r="D260" s="8">
        <f t="shared" si="9"/>
        <v>0.15226606759132655</v>
      </c>
    </row>
    <row r="261" spans="1:5" x14ac:dyDescent="0.25">
      <c r="A261" s="1">
        <v>38352</v>
      </c>
      <c r="B261">
        <v>3482.66</v>
      </c>
      <c r="C261" s="9">
        <f t="shared" si="8"/>
        <v>1.5255092075689536E-2</v>
      </c>
      <c r="D261" s="8">
        <f t="shared" si="9"/>
        <v>0.14603406518190898</v>
      </c>
    </row>
    <row r="262" spans="1:5" x14ac:dyDescent="0.25">
      <c r="A262" s="1">
        <v>38321</v>
      </c>
      <c r="B262">
        <v>3430.33</v>
      </c>
      <c r="C262" s="9">
        <f t="shared" si="8"/>
        <v>1.085905913693308E-2</v>
      </c>
      <c r="D262" s="8">
        <f t="shared" si="9"/>
        <v>0.15136472262499323</v>
      </c>
      <c r="E262" s="10">
        <f>AVERAGE(D262:D264)</f>
        <v>0.15492110234076217</v>
      </c>
    </row>
    <row r="263" spans="1:5" x14ac:dyDescent="0.25">
      <c r="A263" s="1">
        <v>38291</v>
      </c>
      <c r="B263">
        <v>3393.48</v>
      </c>
      <c r="C263" s="9">
        <f t="shared" si="8"/>
        <v>1.2501566425387356E-2</v>
      </c>
      <c r="D263" s="8">
        <f t="shared" si="9"/>
        <v>0.15904666270467449</v>
      </c>
    </row>
    <row r="264" spans="1:5" x14ac:dyDescent="0.25">
      <c r="A264" s="1">
        <v>38260</v>
      </c>
      <c r="B264">
        <v>3351.58</v>
      </c>
      <c r="C264" s="9">
        <f t="shared" si="8"/>
        <v>8.7160132666390666E-3</v>
      </c>
      <c r="D264" s="8">
        <f t="shared" si="9"/>
        <v>0.1543519216926188</v>
      </c>
    </row>
    <row r="265" spans="1:5" x14ac:dyDescent="0.25">
      <c r="A265" s="1">
        <v>38230</v>
      </c>
      <c r="B265">
        <v>3322.62</v>
      </c>
      <c r="C265" s="9">
        <f t="shared" si="8"/>
        <v>8.3273144410926925E-3</v>
      </c>
      <c r="D265" s="8">
        <f t="shared" si="9"/>
        <v>0.15381570174463821</v>
      </c>
      <c r="E265" s="10">
        <f>AVERAGE(D265:D267)</f>
        <v>0.15249491746122765</v>
      </c>
    </row>
    <row r="266" spans="1:5" x14ac:dyDescent="0.25">
      <c r="A266" s="1">
        <v>38199</v>
      </c>
      <c r="B266">
        <v>3295.18</v>
      </c>
      <c r="C266" s="9">
        <f t="shared" si="8"/>
        <v>9.8620901011339246E-3</v>
      </c>
      <c r="D266" s="8">
        <f t="shared" si="9"/>
        <v>0.15299938416750636</v>
      </c>
    </row>
    <row r="267" spans="1:5" x14ac:dyDescent="0.25">
      <c r="A267" s="1">
        <v>38168</v>
      </c>
      <c r="B267">
        <v>3263</v>
      </c>
      <c r="C267" s="9">
        <f t="shared" si="8"/>
        <v>1.1917868118849873E-2</v>
      </c>
      <c r="D267" s="8">
        <f t="shared" si="9"/>
        <v>0.15066966647153834</v>
      </c>
    </row>
    <row r="268" spans="1:5" x14ac:dyDescent="0.25">
      <c r="A268" s="1">
        <v>38138</v>
      </c>
      <c r="B268">
        <v>3224.57</v>
      </c>
      <c r="C268" s="9">
        <f t="shared" si="8"/>
        <v>1.371288451563224E-2</v>
      </c>
      <c r="D268" s="8">
        <f t="shared" si="9"/>
        <v>0.14712149725543489</v>
      </c>
      <c r="E268" s="10">
        <f>AVERAGE(D268:D270)</f>
        <v>0.13678939174381943</v>
      </c>
    </row>
    <row r="269" spans="1:5" x14ac:dyDescent="0.25">
      <c r="A269" s="1">
        <v>38107</v>
      </c>
      <c r="B269">
        <v>3180.95</v>
      </c>
      <c r="C269" s="9">
        <f t="shared" si="8"/>
        <v>1.7015535228424472E-2</v>
      </c>
      <c r="D269" s="8">
        <f t="shared" si="9"/>
        <v>0.13827320417671607</v>
      </c>
    </row>
    <row r="270" spans="1:5" x14ac:dyDescent="0.25">
      <c r="A270" s="1">
        <v>38077</v>
      </c>
      <c r="B270">
        <v>3127.73</v>
      </c>
      <c r="C270" s="9">
        <f t="shared" si="8"/>
        <v>1.1061868233818384E-2</v>
      </c>
      <c r="D270" s="8">
        <f t="shared" si="9"/>
        <v>0.12497347379930734</v>
      </c>
    </row>
    <row r="271" spans="1:5" x14ac:dyDescent="0.25">
      <c r="A271" s="1">
        <v>38046</v>
      </c>
      <c r="B271">
        <v>3093.51</v>
      </c>
      <c r="C271" s="9">
        <f t="shared" si="8"/>
        <v>7.1986716155498787E-3</v>
      </c>
      <c r="D271" s="8">
        <f t="shared" si="9"/>
        <v>0.11698820368946139</v>
      </c>
      <c r="E271" s="10">
        <f>AVERAGE(D271:D273)</f>
        <v>0.10759958946129881</v>
      </c>
    </row>
    <row r="272" spans="1:5" x14ac:dyDescent="0.25">
      <c r="A272" s="1">
        <v>38017</v>
      </c>
      <c r="B272">
        <v>3071.4</v>
      </c>
      <c r="C272" s="9">
        <f t="shared" si="8"/>
        <v>1.0701311009319259E-2</v>
      </c>
      <c r="D272" s="8">
        <f t="shared" si="9"/>
        <v>0.10802464682030055</v>
      </c>
    </row>
    <row r="273" spans="1:5" x14ac:dyDescent="0.25">
      <c r="A273" s="1">
        <v>37986</v>
      </c>
      <c r="B273">
        <v>3038.88</v>
      </c>
      <c r="C273" s="9">
        <f t="shared" si="8"/>
        <v>1.997744482036401E-2</v>
      </c>
      <c r="D273" s="8">
        <f t="shared" si="9"/>
        <v>9.7785917874134487E-2</v>
      </c>
    </row>
    <row r="274" spans="1:5" x14ac:dyDescent="0.25">
      <c r="A274" s="1">
        <v>37955</v>
      </c>
      <c r="B274">
        <v>2979.36</v>
      </c>
      <c r="C274" s="9">
        <f t="shared" si="8"/>
        <v>1.7603541201303363E-2</v>
      </c>
      <c r="D274" s="8">
        <f t="shared" si="9"/>
        <v>8.6822186149160263E-2</v>
      </c>
      <c r="E274" s="10">
        <f>AVERAGE(D274:D276)</f>
        <v>7.8465063096152685E-2</v>
      </c>
    </row>
    <row r="275" spans="1:5" x14ac:dyDescent="0.25">
      <c r="A275" s="1">
        <v>37925</v>
      </c>
      <c r="B275">
        <v>2927.82</v>
      </c>
      <c r="C275" s="9">
        <f t="shared" si="8"/>
        <v>8.4004091712217566E-3</v>
      </c>
      <c r="D275" s="8">
        <f t="shared" si="9"/>
        <v>7.5811133566048294E-2</v>
      </c>
    </row>
    <row r="276" spans="1:5" x14ac:dyDescent="0.25">
      <c r="A276" s="1">
        <v>37894</v>
      </c>
      <c r="B276">
        <v>2903.43</v>
      </c>
      <c r="C276" s="9">
        <f t="shared" si="8"/>
        <v>8.2474441604623028E-3</v>
      </c>
      <c r="D276" s="8">
        <f t="shared" si="9"/>
        <v>7.2761869573249482E-2</v>
      </c>
    </row>
    <row r="277" spans="1:5" x14ac:dyDescent="0.25">
      <c r="A277" s="1">
        <v>37864</v>
      </c>
      <c r="B277">
        <v>2879.68</v>
      </c>
      <c r="C277" s="9">
        <f t="shared" si="8"/>
        <v>7.613929011308862E-3</v>
      </c>
      <c r="D277" s="8">
        <f t="shared" si="9"/>
        <v>6.7584100126789615E-2</v>
      </c>
      <c r="E277" s="10">
        <f>AVERAGE(D277:D279)</f>
        <v>6.244367930995328E-2</v>
      </c>
    </row>
    <row r="278" spans="1:5" x14ac:dyDescent="0.25">
      <c r="A278" s="1">
        <v>37833</v>
      </c>
      <c r="B278">
        <v>2857.92</v>
      </c>
      <c r="C278" s="9">
        <f t="shared" si="8"/>
        <v>7.8215915422430449E-3</v>
      </c>
      <c r="D278" s="8">
        <f t="shared" si="9"/>
        <v>6.2546241388412804E-2</v>
      </c>
    </row>
    <row r="279" spans="1:5" x14ac:dyDescent="0.25">
      <c r="A279" s="1">
        <v>37802</v>
      </c>
      <c r="B279">
        <v>2835.74</v>
      </c>
      <c r="C279" s="9">
        <f t="shared" si="8"/>
        <v>8.7975496351844207E-3</v>
      </c>
      <c r="D279" s="8">
        <f t="shared" si="9"/>
        <v>5.7200696414657415E-2</v>
      </c>
    </row>
    <row r="280" spans="1:5" x14ac:dyDescent="0.25">
      <c r="A280" s="1">
        <v>37772</v>
      </c>
      <c r="B280">
        <v>2811.01</v>
      </c>
      <c r="C280" s="9">
        <f t="shared" si="8"/>
        <v>5.8936354462630902E-3</v>
      </c>
      <c r="D280" s="8">
        <f t="shared" si="9"/>
        <v>5.3755983820723552E-2</v>
      </c>
      <c r="E280" s="10">
        <f>AVERAGE(D280:D282)</f>
        <v>5.4197084380225601E-2</v>
      </c>
    </row>
    <row r="281" spans="1:5" x14ac:dyDescent="0.25">
      <c r="A281" s="1">
        <v>37741</v>
      </c>
      <c r="B281">
        <v>2794.54</v>
      </c>
      <c r="C281" s="9">
        <f t="shared" si="8"/>
        <v>5.1325950357339334E-3</v>
      </c>
      <c r="D281" s="8">
        <f t="shared" si="9"/>
        <v>5.4312641006873941E-2</v>
      </c>
    </row>
    <row r="282" spans="1:5" x14ac:dyDescent="0.25">
      <c r="A282" s="1">
        <v>37711</v>
      </c>
      <c r="B282">
        <v>2780.27</v>
      </c>
      <c r="C282" s="9">
        <f t="shared" si="8"/>
        <v>3.8851638015389156E-3</v>
      </c>
      <c r="D282" s="8">
        <f t="shared" si="9"/>
        <v>5.4522628313079302E-2</v>
      </c>
    </row>
    <row r="283" spans="1:5" x14ac:dyDescent="0.25">
      <c r="A283" s="1">
        <v>37680</v>
      </c>
      <c r="B283">
        <v>2769.51</v>
      </c>
      <c r="C283" s="9">
        <f t="shared" si="8"/>
        <v>-8.8385113782296632E-4</v>
      </c>
      <c r="D283" s="8">
        <f t="shared" si="9"/>
        <v>4.9963604931531957E-2</v>
      </c>
      <c r="E283" s="10">
        <f>AVERAGE(D283:D285)</f>
        <v>5.1940405542381995E-2</v>
      </c>
    </row>
    <row r="284" spans="1:5" x14ac:dyDescent="0.25">
      <c r="A284" s="1">
        <v>37652</v>
      </c>
      <c r="B284">
        <v>2771.96</v>
      </c>
      <c r="C284" s="9">
        <f t="shared" si="8"/>
        <v>1.3619007365823776E-3</v>
      </c>
      <c r="D284" s="8">
        <f t="shared" si="9"/>
        <v>5.0617606816226512E-2</v>
      </c>
    </row>
    <row r="285" spans="1:5" x14ac:dyDescent="0.25">
      <c r="A285" s="1">
        <v>37621</v>
      </c>
      <c r="B285">
        <v>2768.19</v>
      </c>
      <c r="C285" s="9">
        <f t="shared" si="8"/>
        <v>9.7907965053714019E-3</v>
      </c>
      <c r="D285" s="8">
        <f t="shared" si="9"/>
        <v>5.5240004879387516E-2</v>
      </c>
    </row>
    <row r="286" spans="1:5" x14ac:dyDescent="0.25">
      <c r="A286" s="1">
        <v>37590</v>
      </c>
      <c r="B286">
        <v>2741.35</v>
      </c>
      <c r="C286" s="9">
        <f t="shared" si="8"/>
        <v>7.2937718170127397E-3</v>
      </c>
      <c r="D286" s="8">
        <f t="shared" si="9"/>
        <v>4.077526148939814E-2</v>
      </c>
      <c r="E286" s="10">
        <f>AVERAGE(D286:D288)</f>
        <v>3.5804097578863679E-2</v>
      </c>
    </row>
    <row r="287" spans="1:5" x14ac:dyDescent="0.25">
      <c r="A287" s="1">
        <v>37560</v>
      </c>
      <c r="B287">
        <v>2721.5</v>
      </c>
      <c r="C287" s="9">
        <f t="shared" si="8"/>
        <v>5.5422131904674377E-3</v>
      </c>
      <c r="D287" s="8">
        <f t="shared" si="9"/>
        <v>3.9287869183004753E-2</v>
      </c>
    </row>
    <row r="288" spans="1:5" x14ac:dyDescent="0.25">
      <c r="A288" s="1">
        <v>37529</v>
      </c>
      <c r="B288">
        <v>2706.5</v>
      </c>
      <c r="C288" s="9">
        <f t="shared" si="8"/>
        <v>3.381058656918956E-3</v>
      </c>
      <c r="D288" s="8">
        <f t="shared" si="9"/>
        <v>2.7349162064188137E-2</v>
      </c>
    </row>
    <row r="289" spans="1:5" x14ac:dyDescent="0.25">
      <c r="A289" s="1">
        <v>37499</v>
      </c>
      <c r="B289">
        <v>2697.38</v>
      </c>
      <c r="C289" s="9">
        <f t="shared" si="8"/>
        <v>2.859065542869299E-3</v>
      </c>
      <c r="D289" s="8">
        <f t="shared" si="9"/>
        <v>2.0772074823367515E-2</v>
      </c>
      <c r="E289" s="10">
        <f>AVERAGE(D289:D291)</f>
        <v>1.5822253422991411E-2</v>
      </c>
    </row>
    <row r="290" spans="1:5" x14ac:dyDescent="0.25">
      <c r="A290" s="1">
        <v>37468</v>
      </c>
      <c r="B290">
        <v>2689.69</v>
      </c>
      <c r="C290" s="9">
        <f t="shared" si="8"/>
        <v>2.7513598353658963E-3</v>
      </c>
      <c r="D290" s="8">
        <f t="shared" si="9"/>
        <v>1.6454093683275772E-2</v>
      </c>
    </row>
    <row r="291" spans="1:5" x14ac:dyDescent="0.25">
      <c r="A291" s="1">
        <v>37437</v>
      </c>
      <c r="B291">
        <v>2682.31</v>
      </c>
      <c r="C291" s="9">
        <f t="shared" si="8"/>
        <v>5.5105506427099993E-3</v>
      </c>
      <c r="D291" s="8">
        <f t="shared" si="9"/>
        <v>1.0240591762330942E-2</v>
      </c>
    </row>
    <row r="292" spans="1:5" x14ac:dyDescent="0.25">
      <c r="A292" s="1">
        <v>37407</v>
      </c>
      <c r="B292">
        <v>2667.61</v>
      </c>
      <c r="C292" s="9">
        <f t="shared" si="8"/>
        <v>6.4250088659840721E-3</v>
      </c>
      <c r="D292" s="8">
        <f t="shared" si="9"/>
        <v>4.9387831983425112E-3</v>
      </c>
      <c r="E292" s="10">
        <f>AVERAGE(D292:D294)</f>
        <v>-1.2659444170306511E-3</v>
      </c>
    </row>
    <row r="293" spans="1:5" x14ac:dyDescent="0.25">
      <c r="A293" s="1">
        <v>37376</v>
      </c>
      <c r="B293">
        <v>2650.58</v>
      </c>
      <c r="C293" s="9">
        <f t="shared" si="8"/>
        <v>5.3327871588304543E-3</v>
      </c>
      <c r="D293" s="8">
        <f t="shared" si="9"/>
        <v>-2.3787120328202516E-3</v>
      </c>
    </row>
    <row r="294" spans="1:5" x14ac:dyDescent="0.25">
      <c r="A294" s="1">
        <v>37346</v>
      </c>
      <c r="B294">
        <v>2636.52</v>
      </c>
      <c r="C294" s="9">
        <f t="shared" si="8"/>
        <v>-4.54938355852752E-4</v>
      </c>
      <c r="D294" s="8">
        <f t="shared" si="9"/>
        <v>-6.3579044166142129E-3</v>
      </c>
    </row>
    <row r="295" spans="1:5" x14ac:dyDescent="0.25">
      <c r="A295" s="1">
        <v>37315</v>
      </c>
      <c r="B295">
        <v>2637.72</v>
      </c>
      <c r="C295" s="9">
        <f t="shared" si="8"/>
        <v>-2.6152114341593258E-4</v>
      </c>
      <c r="D295" s="8">
        <f t="shared" si="9"/>
        <v>-6.3550303436690214E-3</v>
      </c>
      <c r="E295" s="10">
        <f>AVERAGE(D295:D297)</f>
        <v>-7.8785027826565966E-3</v>
      </c>
    </row>
    <row r="296" spans="1:5" x14ac:dyDescent="0.25">
      <c r="A296" s="1">
        <v>37287</v>
      </c>
      <c r="B296">
        <v>2638.41</v>
      </c>
      <c r="C296" s="9">
        <f t="shared" si="8"/>
        <v>5.7675886676220589E-3</v>
      </c>
      <c r="D296" s="8">
        <f t="shared" si="9"/>
        <v>-6.5367106338275471E-3</v>
      </c>
    </row>
    <row r="297" spans="1:5" x14ac:dyDescent="0.25">
      <c r="A297" s="1">
        <v>37256</v>
      </c>
      <c r="B297">
        <v>2623.28</v>
      </c>
      <c r="C297" s="9">
        <f t="shared" si="8"/>
        <v>-4.0509500939651666E-3</v>
      </c>
      <c r="D297" s="8">
        <f t="shared" si="9"/>
        <v>-1.0743767370473223E-2</v>
      </c>
    </row>
    <row r="298" spans="1:5" x14ac:dyDescent="0.25">
      <c r="A298" s="1">
        <v>37225</v>
      </c>
      <c r="B298">
        <v>2633.95</v>
      </c>
      <c r="C298" s="9">
        <f t="shared" si="8"/>
        <v>5.8542285631362212E-3</v>
      </c>
      <c r="D298" s="8">
        <f t="shared" si="9"/>
        <v>-4.3641607529132376E-4</v>
      </c>
      <c r="E298" s="10">
        <f>AVERAGE(D298:D300)</f>
        <v>6.2903190694743412E-3</v>
      </c>
    </row>
    <row r="299" spans="1:5" x14ac:dyDescent="0.25">
      <c r="A299" s="1">
        <v>37195</v>
      </c>
      <c r="B299">
        <v>2618.62</v>
      </c>
      <c r="C299" s="9">
        <f t="shared" si="8"/>
        <v>-6.0088443508132805E-3</v>
      </c>
      <c r="D299" s="8">
        <f t="shared" si="9"/>
        <v>1.0168351198029946E-3</v>
      </c>
    </row>
    <row r="300" spans="1:5" x14ac:dyDescent="0.25">
      <c r="A300" s="1">
        <v>37164</v>
      </c>
      <c r="B300">
        <v>2634.45</v>
      </c>
      <c r="C300" s="9">
        <f t="shared" si="8"/>
        <v>-3.0425848347581663E-3</v>
      </c>
      <c r="D300" s="8">
        <f t="shared" si="9"/>
        <v>1.8290538163911352E-2</v>
      </c>
    </row>
    <row r="301" spans="1:5" x14ac:dyDescent="0.25">
      <c r="A301" s="1">
        <v>37134</v>
      </c>
      <c r="B301">
        <v>2642.49</v>
      </c>
      <c r="C301" s="9">
        <f t="shared" si="8"/>
        <v>-1.3831415452639773E-3</v>
      </c>
      <c r="D301" s="8">
        <f t="shared" si="9"/>
        <v>2.7163075631362554E-2</v>
      </c>
      <c r="E301" s="10">
        <f>AVERAGE(D301:D303)</f>
        <v>3.0705828845048282E-2</v>
      </c>
    </row>
    <row r="302" spans="1:5" x14ac:dyDescent="0.25">
      <c r="A302" s="1">
        <v>37103</v>
      </c>
      <c r="B302">
        <v>2646.15</v>
      </c>
      <c r="C302" s="9">
        <f t="shared" si="8"/>
        <v>-3.3783783783782884E-3</v>
      </c>
      <c r="D302" s="8">
        <f t="shared" si="9"/>
        <v>2.8122170978758909E-2</v>
      </c>
    </row>
    <row r="303" spans="1:5" x14ac:dyDescent="0.25">
      <c r="A303" s="1">
        <v>37072</v>
      </c>
      <c r="B303">
        <v>2655.12</v>
      </c>
      <c r="C303" s="9">
        <f t="shared" si="8"/>
        <v>2.3356564324727991E-4</v>
      </c>
      <c r="D303" s="8">
        <f t="shared" si="9"/>
        <v>3.683223992502338E-2</v>
      </c>
    </row>
    <row r="304" spans="1:5" x14ac:dyDescent="0.25">
      <c r="A304" s="1">
        <v>37042</v>
      </c>
      <c r="B304">
        <v>2654.5</v>
      </c>
      <c r="C304" s="9">
        <f t="shared" si="8"/>
        <v>-9.0330836689378469E-4</v>
      </c>
      <c r="D304" s="8">
        <f t="shared" si="9"/>
        <v>3.9455856900076025E-2</v>
      </c>
      <c r="E304" s="10"/>
    </row>
    <row r="305" spans="1:4" x14ac:dyDescent="0.25">
      <c r="A305" s="1">
        <v>37011</v>
      </c>
      <c r="B305">
        <v>2656.9</v>
      </c>
      <c r="C305" s="9">
        <f t="shared" si="8"/>
        <v>1.3228360700840991E-3</v>
      </c>
      <c r="D305" s="8" t="e">
        <f t="shared" si="9"/>
        <v>#DIV/0!</v>
      </c>
    </row>
    <row r="306" spans="1:4" x14ac:dyDescent="0.25">
      <c r="A306" s="1">
        <v>36981</v>
      </c>
      <c r="B306">
        <v>2653.39</v>
      </c>
      <c r="C306" s="9">
        <f t="shared" si="8"/>
        <v>-4.5204720879699067E-4</v>
      </c>
      <c r="D306" s="8" t="e">
        <f t="shared" si="9"/>
        <v>#DIV/0!</v>
      </c>
    </row>
    <row r="307" spans="1:4" x14ac:dyDescent="0.25">
      <c r="A307" s="1">
        <v>36950</v>
      </c>
      <c r="B307">
        <v>2654.59</v>
      </c>
      <c r="C307" s="9">
        <f t="shared" si="8"/>
        <v>-4.4431558455737541E-4</v>
      </c>
      <c r="D307" s="8" t="e">
        <f t="shared" si="9"/>
        <v>#DIV/0!</v>
      </c>
    </row>
    <row r="308" spans="1:4" x14ac:dyDescent="0.25">
      <c r="A308" s="1">
        <v>36922</v>
      </c>
      <c r="B308">
        <v>2655.77</v>
      </c>
      <c r="C308" s="9">
        <f t="shared" si="8"/>
        <v>1.5084264472409181E-3</v>
      </c>
      <c r="D308" s="8" t="e">
        <f t="shared" si="9"/>
        <v>#DIV/0!</v>
      </c>
    </row>
    <row r="309" spans="1:4" x14ac:dyDescent="0.25">
      <c r="A309" s="1">
        <v>36891</v>
      </c>
      <c r="B309">
        <v>2651.77</v>
      </c>
      <c r="C309" s="9">
        <f t="shared" si="8"/>
        <v>6.3261356305264194E-3</v>
      </c>
      <c r="D309" s="8" t="e">
        <f t="shared" si="9"/>
        <v>#DIV/0!</v>
      </c>
    </row>
    <row r="310" spans="1:4" x14ac:dyDescent="0.25">
      <c r="A310" s="1">
        <v>36860</v>
      </c>
      <c r="B310">
        <v>2635.1</v>
      </c>
      <c r="C310" s="9">
        <f t="shared" si="8"/>
        <v>7.3166256364776139E-3</v>
      </c>
      <c r="D310" s="8" t="e">
        <f t="shared" si="9"/>
        <v>#DIV/0!</v>
      </c>
    </row>
    <row r="311" spans="1:4" x14ac:dyDescent="0.25">
      <c r="A311" s="1">
        <v>36830</v>
      </c>
      <c r="B311">
        <v>2615.96</v>
      </c>
      <c r="C311" s="9">
        <f t="shared" si="8"/>
        <v>1.1143622469686365E-2</v>
      </c>
      <c r="D311" s="8" t="e">
        <f t="shared" si="9"/>
        <v>#DIV/0!</v>
      </c>
    </row>
    <row r="312" spans="1:4" x14ac:dyDescent="0.25">
      <c r="A312" s="1">
        <v>36799</v>
      </c>
      <c r="B312">
        <v>2587.13</v>
      </c>
      <c r="C312" s="9">
        <f t="shared" si="8"/>
        <v>5.6440735284399857E-3</v>
      </c>
      <c r="D312" s="8" t="e">
        <f t="shared" si="9"/>
        <v>#DIV/0!</v>
      </c>
    </row>
    <row r="313" spans="1:4" x14ac:dyDescent="0.25">
      <c r="A313" s="1">
        <v>36769</v>
      </c>
      <c r="B313">
        <v>2572.61</v>
      </c>
      <c r="C313" s="9">
        <f t="shared" si="8"/>
        <v>-4.5070072306374609E-4</v>
      </c>
      <c r="D313" s="8" t="e">
        <f t="shared" si="9"/>
        <v>#DIV/0!</v>
      </c>
    </row>
    <row r="314" spans="1:4" x14ac:dyDescent="0.25">
      <c r="A314" s="1">
        <v>36738</v>
      </c>
      <c r="B314">
        <v>2573.77</v>
      </c>
      <c r="C314" s="9">
        <f t="shared" si="8"/>
        <v>5.0648234926584657E-3</v>
      </c>
      <c r="D314" s="8" t="e">
        <f t="shared" si="9"/>
        <v>#DIV/0!</v>
      </c>
    </row>
    <row r="315" spans="1:4" x14ac:dyDescent="0.25">
      <c r="A315" s="1">
        <v>36707</v>
      </c>
      <c r="B315">
        <v>2560.8000000000002</v>
      </c>
      <c r="C315" s="9">
        <f t="shared" si="8"/>
        <v>2.7645727442888735E-3</v>
      </c>
      <c r="D315" s="8" t="e">
        <f t="shared" si="9"/>
        <v>#DIV/0!</v>
      </c>
    </row>
    <row r="316" spans="1:4" x14ac:dyDescent="0.25">
      <c r="A316" s="1">
        <v>36677</v>
      </c>
      <c r="B316">
        <v>2553.7399999999998</v>
      </c>
      <c r="C316" s="9" t="e">
        <f t="shared" si="8"/>
        <v>#DIV/0!</v>
      </c>
      <c r="D316" s="8" t="e">
        <f t="shared" si="9"/>
        <v>#DIV/0!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BFAF1-48DB-40A3-8116-A59562CCB283}">
  <dimension ref="A1:B101"/>
  <sheetViews>
    <sheetView zoomScale="145" zoomScaleNormal="145" workbookViewId="0">
      <selection activeCell="E11" sqref="E11:E12"/>
    </sheetView>
  </sheetViews>
  <sheetFormatPr defaultRowHeight="15.75" x14ac:dyDescent="0.25"/>
  <cols>
    <col min="1" max="1" width="11" style="2" bestFit="1" customWidth="1"/>
    <col min="2" max="2" width="51.5703125" style="2" bestFit="1" customWidth="1"/>
  </cols>
  <sheetData>
    <row r="1" spans="1:2" x14ac:dyDescent="0.25">
      <c r="A1" s="2" t="s">
        <v>0</v>
      </c>
      <c r="B1" s="10" t="s">
        <v>11</v>
      </c>
    </row>
    <row r="2" spans="1:2" x14ac:dyDescent="0.25">
      <c r="A2" s="3">
        <v>46173</v>
      </c>
      <c r="B2" s="10">
        <v>4.436409340961419E-2</v>
      </c>
    </row>
    <row r="3" spans="1:2" x14ac:dyDescent="0.25">
      <c r="A3" s="3">
        <v>46081</v>
      </c>
      <c r="B3" s="10">
        <v>4.5018582252181062E-2</v>
      </c>
    </row>
    <row r="4" spans="1:2" x14ac:dyDescent="0.25">
      <c r="A4" s="3">
        <v>45991</v>
      </c>
      <c r="B4" s="10">
        <v>5.1099247454594376E-2</v>
      </c>
    </row>
    <row r="5" spans="1:2" x14ac:dyDescent="0.25">
      <c r="A5" s="3">
        <v>45900</v>
      </c>
      <c r="B5" s="10">
        <v>6.801323289604988E-2</v>
      </c>
    </row>
    <row r="6" spans="1:2" x14ac:dyDescent="0.25">
      <c r="A6" s="3">
        <v>45808</v>
      </c>
      <c r="B6" s="10">
        <v>8.7195285440829842E-2</v>
      </c>
    </row>
    <row r="7" spans="1:2" x14ac:dyDescent="0.25">
      <c r="A7" s="3">
        <v>45716</v>
      </c>
      <c r="B7" s="10">
        <v>0.10016127596275948</v>
      </c>
    </row>
    <row r="8" spans="1:2" x14ac:dyDescent="0.25">
      <c r="A8" s="3">
        <v>45626</v>
      </c>
      <c r="B8" s="10">
        <v>0.11030366246677303</v>
      </c>
    </row>
    <row r="9" spans="1:2" x14ac:dyDescent="0.25">
      <c r="A9" s="3">
        <v>45535</v>
      </c>
      <c r="B9" s="10">
        <v>0.10686084340335074</v>
      </c>
    </row>
    <row r="10" spans="1:2" x14ac:dyDescent="0.25">
      <c r="A10" s="3">
        <v>45443</v>
      </c>
      <c r="B10" s="10">
        <v>9.1534616862525509E-2</v>
      </c>
    </row>
    <row r="11" spans="1:2" x14ac:dyDescent="0.25">
      <c r="A11" s="3">
        <v>45351</v>
      </c>
      <c r="B11" s="10">
        <v>7.6689212354049463E-2</v>
      </c>
    </row>
    <row r="12" spans="1:2" x14ac:dyDescent="0.25">
      <c r="A12" s="3">
        <v>45260</v>
      </c>
      <c r="B12" s="10">
        <v>6.1074447872455938E-2</v>
      </c>
    </row>
    <row r="13" spans="1:2" x14ac:dyDescent="0.25">
      <c r="A13" s="3">
        <v>45169</v>
      </c>
      <c r="B13" s="10">
        <v>4.8340544080190208E-2</v>
      </c>
    </row>
    <row r="14" spans="1:2" x14ac:dyDescent="0.25">
      <c r="A14" s="3">
        <v>45077</v>
      </c>
      <c r="B14" s="10">
        <v>4.7748022432488359E-2</v>
      </c>
    </row>
    <row r="15" spans="1:2" x14ac:dyDescent="0.25">
      <c r="A15" s="3">
        <v>44985</v>
      </c>
      <c r="B15" s="10">
        <v>5.8885470703071263E-2</v>
      </c>
    </row>
    <row r="16" spans="1:2" x14ac:dyDescent="0.25">
      <c r="A16" s="3">
        <v>44895</v>
      </c>
      <c r="B16" s="10">
        <v>7.6373673720674454E-2</v>
      </c>
    </row>
    <row r="17" spans="1:2" x14ac:dyDescent="0.25">
      <c r="A17" s="3">
        <v>44804</v>
      </c>
      <c r="B17" s="10">
        <v>8.6346434557829824E-2</v>
      </c>
    </row>
    <row r="18" spans="1:2" x14ac:dyDescent="0.25">
      <c r="A18" s="3">
        <v>44712</v>
      </c>
      <c r="B18" s="10">
        <v>9.3481604620858708E-2</v>
      </c>
    </row>
    <row r="19" spans="1:2" x14ac:dyDescent="0.25">
      <c r="A19" s="3">
        <v>44620</v>
      </c>
      <c r="B19" s="10">
        <v>9.4231068218857114E-2</v>
      </c>
    </row>
    <row r="20" spans="1:2" x14ac:dyDescent="0.25">
      <c r="A20" s="3">
        <v>44530</v>
      </c>
      <c r="B20" s="10">
        <v>9.3953787805037978E-2</v>
      </c>
    </row>
    <row r="21" spans="1:2" x14ac:dyDescent="0.25">
      <c r="A21" s="3">
        <v>44439</v>
      </c>
      <c r="B21" s="10">
        <v>0.10083057604425612</v>
      </c>
    </row>
    <row r="22" spans="1:2" x14ac:dyDescent="0.25">
      <c r="A22" s="3">
        <v>44347</v>
      </c>
      <c r="B22" s="10">
        <v>9.5834951309386199E-2</v>
      </c>
    </row>
    <row r="23" spans="1:2" x14ac:dyDescent="0.25">
      <c r="A23" s="3">
        <v>44255</v>
      </c>
      <c r="B23" s="10">
        <v>8.9099685967853004E-2</v>
      </c>
    </row>
    <row r="24" spans="1:2" x14ac:dyDescent="0.25">
      <c r="A24" s="3">
        <v>44165</v>
      </c>
      <c r="B24" s="10">
        <v>7.8392372426534296E-2</v>
      </c>
    </row>
    <row r="25" spans="1:2" x14ac:dyDescent="0.25">
      <c r="A25" s="3">
        <v>44074</v>
      </c>
      <c r="B25" s="10">
        <v>6.7690321296848863E-2</v>
      </c>
    </row>
    <row r="26" spans="1:2" x14ac:dyDescent="0.25">
      <c r="A26" s="3">
        <v>43982</v>
      </c>
      <c r="B26" s="10">
        <v>6.6637267419697555E-2</v>
      </c>
    </row>
    <row r="27" spans="1:2" x14ac:dyDescent="0.25">
      <c r="A27" s="3">
        <v>43890</v>
      </c>
      <c r="B27" s="10">
        <v>6.2802506964891272E-2</v>
      </c>
    </row>
    <row r="28" spans="1:2" x14ac:dyDescent="0.25">
      <c r="A28" s="3">
        <v>43799</v>
      </c>
      <c r="B28" s="10">
        <v>5.8004524419932313E-2</v>
      </c>
    </row>
    <row r="29" spans="1:2" x14ac:dyDescent="0.25">
      <c r="A29" s="3">
        <v>43708</v>
      </c>
      <c r="B29" s="10">
        <v>5.4958358648578377E-2</v>
      </c>
    </row>
    <row r="30" spans="1:2" x14ac:dyDescent="0.25">
      <c r="A30" s="3">
        <v>43616</v>
      </c>
      <c r="B30" s="10">
        <v>5.0184685615220458E-2</v>
      </c>
    </row>
    <row r="31" spans="1:2" x14ac:dyDescent="0.25">
      <c r="A31" s="3">
        <v>43524</v>
      </c>
      <c r="B31" s="10">
        <v>4.8872324359543841E-2</v>
      </c>
    </row>
    <row r="32" spans="1:2" x14ac:dyDescent="0.25">
      <c r="A32" s="3">
        <v>43434</v>
      </c>
      <c r="B32" s="10">
        <v>4.9458953570446905E-2</v>
      </c>
    </row>
    <row r="33" spans="1:2" x14ac:dyDescent="0.25">
      <c r="A33" s="3">
        <v>43343</v>
      </c>
      <c r="B33" s="10">
        <v>4.7042726985017845E-2</v>
      </c>
    </row>
    <row r="34" spans="1:2" x14ac:dyDescent="0.25">
      <c r="A34" s="3">
        <v>43251</v>
      </c>
      <c r="B34" s="10">
        <v>4.6968833878145176E-2</v>
      </c>
    </row>
    <row r="35" spans="1:2" x14ac:dyDescent="0.25">
      <c r="A35" s="3">
        <v>43159</v>
      </c>
      <c r="B35" s="10">
        <v>4.5503237370942827E-2</v>
      </c>
    </row>
    <row r="36" spans="1:2" x14ac:dyDescent="0.25">
      <c r="A36" s="3">
        <v>43069</v>
      </c>
      <c r="B36" s="10">
        <v>4.4489263076465647E-2</v>
      </c>
    </row>
    <row r="37" spans="1:2" x14ac:dyDescent="0.25">
      <c r="A37" s="3">
        <v>42978</v>
      </c>
      <c r="B37" s="10">
        <v>4.52613528524477E-2</v>
      </c>
    </row>
    <row r="38" spans="1:2" x14ac:dyDescent="0.25">
      <c r="A38" s="3">
        <v>42886</v>
      </c>
      <c r="B38" s="10">
        <v>4.5337320358899293E-2</v>
      </c>
    </row>
    <row r="39" spans="1:2" x14ac:dyDescent="0.25">
      <c r="A39" s="3">
        <v>42794</v>
      </c>
      <c r="B39" s="10">
        <v>3.9960220975151284E-2</v>
      </c>
    </row>
    <row r="40" spans="1:2" x14ac:dyDescent="0.25">
      <c r="A40" s="3">
        <v>42704</v>
      </c>
      <c r="B40" s="10">
        <v>4.9789089852095257E-2</v>
      </c>
    </row>
    <row r="41" spans="1:2" x14ac:dyDescent="0.25">
      <c r="A41" s="3">
        <v>42613</v>
      </c>
      <c r="B41" s="10">
        <v>4.6927225231100822E-2</v>
      </c>
    </row>
    <row r="42" spans="1:2" x14ac:dyDescent="0.25">
      <c r="A42" s="3">
        <v>42521</v>
      </c>
      <c r="B42" s="10">
        <v>4.233498932159304E-2</v>
      </c>
    </row>
    <row r="43" spans="1:2" x14ac:dyDescent="0.25">
      <c r="A43" s="3">
        <v>42429</v>
      </c>
      <c r="B43" s="10">
        <v>4.4349954057601781E-2</v>
      </c>
    </row>
    <row r="44" spans="1:2" x14ac:dyDescent="0.25">
      <c r="A44" s="3">
        <v>42338</v>
      </c>
      <c r="B44" s="10">
        <v>3.0834085773343494E-2</v>
      </c>
    </row>
    <row r="45" spans="1:2" x14ac:dyDescent="0.25">
      <c r="A45" s="3">
        <v>42247</v>
      </c>
      <c r="B45" s="10">
        <v>2.9819617492788941E-2</v>
      </c>
    </row>
    <row r="46" spans="1:2" x14ac:dyDescent="0.25">
      <c r="A46" s="3">
        <v>42155</v>
      </c>
      <c r="B46" s="10">
        <v>3.3667336481436605E-2</v>
      </c>
    </row>
    <row r="47" spans="1:2" x14ac:dyDescent="0.25">
      <c r="A47" s="3">
        <v>42063</v>
      </c>
      <c r="B47" s="10">
        <v>3.7215669911770721E-2</v>
      </c>
    </row>
    <row r="48" spans="1:2" x14ac:dyDescent="0.25">
      <c r="A48" s="3">
        <v>41973</v>
      </c>
      <c r="B48" s="10">
        <v>4.5150026512421615E-2</v>
      </c>
    </row>
    <row r="49" spans="1:2" x14ac:dyDescent="0.25">
      <c r="A49" s="3">
        <v>41882</v>
      </c>
      <c r="B49" s="10">
        <v>4.9123238189811604E-2</v>
      </c>
    </row>
    <row r="50" spans="1:2" x14ac:dyDescent="0.25">
      <c r="A50" s="3">
        <v>41790</v>
      </c>
      <c r="B50" s="10">
        <v>4.6909115549972714E-2</v>
      </c>
    </row>
    <row r="51" spans="1:2" x14ac:dyDescent="0.25">
      <c r="A51" s="3">
        <v>41698</v>
      </c>
      <c r="B51" s="10">
        <v>4.2220347209117826E-2</v>
      </c>
    </row>
    <row r="52" spans="1:2" x14ac:dyDescent="0.25">
      <c r="A52" s="3">
        <v>41608</v>
      </c>
      <c r="B52" s="10">
        <v>3.3914866917047849E-2</v>
      </c>
    </row>
    <row r="53" spans="1:2" x14ac:dyDescent="0.25">
      <c r="A53" s="3">
        <v>41517</v>
      </c>
      <c r="B53" s="10">
        <v>2.9603441007759173E-2</v>
      </c>
    </row>
    <row r="54" spans="1:2" x14ac:dyDescent="0.25">
      <c r="A54" s="3">
        <v>41425</v>
      </c>
      <c r="B54" s="10">
        <v>3.350549731842508E-2</v>
      </c>
    </row>
    <row r="55" spans="1:2" x14ac:dyDescent="0.25">
      <c r="A55" s="3">
        <v>41333</v>
      </c>
      <c r="B55" s="10">
        <v>3.27468553505584E-2</v>
      </c>
    </row>
    <row r="56" spans="1:2" x14ac:dyDescent="0.25">
      <c r="A56" s="3">
        <v>41243</v>
      </c>
      <c r="B56" s="10">
        <v>2.6246950094514093E-2</v>
      </c>
    </row>
    <row r="57" spans="1:2" x14ac:dyDescent="0.25">
      <c r="A57" s="3">
        <v>41152</v>
      </c>
      <c r="B57" s="10">
        <v>2.2863832521330469E-2</v>
      </c>
    </row>
    <row r="58" spans="1:2" x14ac:dyDescent="0.25">
      <c r="A58" s="3">
        <v>41060</v>
      </c>
      <c r="B58" s="10">
        <v>1.5851215434446564E-2</v>
      </c>
    </row>
    <row r="59" spans="1:2" x14ac:dyDescent="0.25">
      <c r="A59" s="3">
        <v>40968</v>
      </c>
      <c r="B59" s="10">
        <v>2.5640988149673822E-2</v>
      </c>
    </row>
    <row r="60" spans="1:2" x14ac:dyDescent="0.25">
      <c r="A60" s="3">
        <v>40877</v>
      </c>
      <c r="B60" s="10">
        <v>4.271375526283272E-2</v>
      </c>
    </row>
    <row r="61" spans="1:2" x14ac:dyDescent="0.25">
      <c r="A61" s="3">
        <v>40786</v>
      </c>
      <c r="B61" s="10">
        <v>4.9566039752382197E-2</v>
      </c>
    </row>
    <row r="62" spans="1:2" x14ac:dyDescent="0.25">
      <c r="A62" s="3">
        <v>40694</v>
      </c>
      <c r="B62" s="10">
        <v>5.9250244161747068E-2</v>
      </c>
    </row>
    <row r="63" spans="1:2" x14ac:dyDescent="0.25">
      <c r="A63" s="3">
        <v>40602</v>
      </c>
      <c r="B63" s="10">
        <v>6.0993895673860488E-2</v>
      </c>
    </row>
    <row r="64" spans="1:2" x14ac:dyDescent="0.25">
      <c r="A64" s="3">
        <v>40512</v>
      </c>
      <c r="B64" s="10">
        <v>5.8494954407409448E-2</v>
      </c>
    </row>
    <row r="65" spans="1:2" x14ac:dyDescent="0.25">
      <c r="A65" s="3">
        <v>40421</v>
      </c>
      <c r="B65" s="10">
        <v>6.8711617220095819E-2</v>
      </c>
    </row>
    <row r="66" spans="1:2" x14ac:dyDescent="0.25">
      <c r="A66" s="3">
        <v>40329</v>
      </c>
      <c r="B66" s="10">
        <v>7.3211797779190249E-2</v>
      </c>
    </row>
    <row r="67" spans="1:2" x14ac:dyDescent="0.25">
      <c r="A67" s="3">
        <v>40237</v>
      </c>
      <c r="B67" s="10">
        <v>5.9060949110777493E-2</v>
      </c>
    </row>
    <row r="68" spans="1:2" x14ac:dyDescent="0.25">
      <c r="A68" s="3">
        <v>40147</v>
      </c>
      <c r="B68" s="10">
        <v>3.8720798882965944E-2</v>
      </c>
    </row>
    <row r="69" spans="1:2" x14ac:dyDescent="0.25">
      <c r="A69" s="3">
        <v>40056</v>
      </c>
      <c r="B69" s="10">
        <v>1.4050211303618795E-2</v>
      </c>
    </row>
    <row r="70" spans="1:2" x14ac:dyDescent="0.25">
      <c r="A70" s="3">
        <v>39964</v>
      </c>
      <c r="B70" s="10">
        <v>7.2369399727640893E-3</v>
      </c>
    </row>
    <row r="71" spans="1:2" x14ac:dyDescent="0.25">
      <c r="A71" s="3">
        <v>39872</v>
      </c>
      <c r="B71" s="10">
        <v>1.4572009888610404E-2</v>
      </c>
    </row>
    <row r="72" spans="1:2" x14ac:dyDescent="0.25">
      <c r="A72" s="3">
        <v>39782</v>
      </c>
      <c r="B72" s="10">
        <v>2.4886332149961277E-2</v>
      </c>
    </row>
    <row r="73" spans="1:2" x14ac:dyDescent="0.25">
      <c r="A73" s="3">
        <v>39691</v>
      </c>
      <c r="B73" s="10">
        <v>4.0543611727810402E-2</v>
      </c>
    </row>
    <row r="74" spans="1:2" x14ac:dyDescent="0.25">
      <c r="A74" s="3">
        <v>39599</v>
      </c>
      <c r="B74" s="10">
        <v>4.5364542203098303E-2</v>
      </c>
    </row>
    <row r="75" spans="1:2" x14ac:dyDescent="0.25">
      <c r="A75" s="3">
        <v>39507</v>
      </c>
      <c r="B75" s="10">
        <v>4.8671163953402541E-2</v>
      </c>
    </row>
    <row r="76" spans="1:2" x14ac:dyDescent="0.25">
      <c r="A76" s="3">
        <v>39416</v>
      </c>
      <c r="B76" s="10">
        <v>6.6883973021649126E-2</v>
      </c>
    </row>
    <row r="77" spans="1:2" x14ac:dyDescent="0.25">
      <c r="A77" s="3">
        <v>39325</v>
      </c>
      <c r="B77" s="10">
        <v>6.973561935648169E-2</v>
      </c>
    </row>
    <row r="78" spans="1:2" x14ac:dyDescent="0.25">
      <c r="A78" s="3">
        <v>39233</v>
      </c>
      <c r="B78" s="10">
        <v>7.5612246870719504E-2</v>
      </c>
    </row>
    <row r="79" spans="1:2" x14ac:dyDescent="0.25">
      <c r="A79" s="3">
        <v>39141</v>
      </c>
      <c r="B79" s="10">
        <v>8.5242189603015037E-2</v>
      </c>
    </row>
    <row r="80" spans="1:2" x14ac:dyDescent="0.25">
      <c r="A80" s="3">
        <v>39051</v>
      </c>
      <c r="B80" s="10">
        <v>9.1135594283962382E-2</v>
      </c>
    </row>
    <row r="81" spans="1:2" x14ac:dyDescent="0.25">
      <c r="A81" s="3">
        <v>38960</v>
      </c>
      <c r="B81" s="10">
        <v>0.10467420132339715</v>
      </c>
    </row>
    <row r="82" spans="1:2" x14ac:dyDescent="0.25">
      <c r="A82" s="3">
        <v>38868</v>
      </c>
      <c r="B82" s="10">
        <v>0.11084819121840066</v>
      </c>
    </row>
    <row r="83" spans="1:2" x14ac:dyDescent="0.25">
      <c r="A83" s="3">
        <v>38776</v>
      </c>
      <c r="B83" s="10">
        <v>0.12184155271147534</v>
      </c>
    </row>
    <row r="84" spans="1:2" x14ac:dyDescent="0.25">
      <c r="A84" s="3">
        <v>38686</v>
      </c>
      <c r="B84" s="10">
        <v>0.13165533200324941</v>
      </c>
    </row>
    <row r="85" spans="1:2" x14ac:dyDescent="0.25">
      <c r="A85" s="3">
        <v>38595</v>
      </c>
      <c r="B85" s="10">
        <v>0.13453611672832397</v>
      </c>
    </row>
    <row r="86" spans="1:2" x14ac:dyDescent="0.25">
      <c r="A86" s="3">
        <v>38503</v>
      </c>
      <c r="B86" s="10">
        <v>0.14151895733207551</v>
      </c>
    </row>
    <row r="87" spans="1:2" x14ac:dyDescent="0.25">
      <c r="A87" s="3">
        <v>38411</v>
      </c>
      <c r="B87" s="10">
        <v>0.14830343134878418</v>
      </c>
    </row>
    <row r="88" spans="1:2" x14ac:dyDescent="0.25">
      <c r="A88" s="3">
        <v>38321</v>
      </c>
      <c r="B88" s="10">
        <v>0.15492110234076217</v>
      </c>
    </row>
    <row r="89" spans="1:2" x14ac:dyDescent="0.25">
      <c r="A89" s="3">
        <v>38230</v>
      </c>
      <c r="B89" s="10">
        <v>0.15249491746122765</v>
      </c>
    </row>
    <row r="90" spans="1:2" x14ac:dyDescent="0.25">
      <c r="A90" s="3">
        <v>38138</v>
      </c>
      <c r="B90" s="10">
        <v>0.13678939174381943</v>
      </c>
    </row>
    <row r="91" spans="1:2" x14ac:dyDescent="0.25">
      <c r="A91" s="3">
        <v>38046</v>
      </c>
      <c r="B91" s="10">
        <v>0.10759958946129881</v>
      </c>
    </row>
    <row r="92" spans="1:2" x14ac:dyDescent="0.25">
      <c r="A92" s="3">
        <v>37955</v>
      </c>
      <c r="B92" s="10">
        <v>7.8465063096152685E-2</v>
      </c>
    </row>
    <row r="93" spans="1:2" x14ac:dyDescent="0.25">
      <c r="A93" s="3">
        <v>37864</v>
      </c>
      <c r="B93" s="10">
        <v>6.244367930995328E-2</v>
      </c>
    </row>
    <row r="94" spans="1:2" x14ac:dyDescent="0.25">
      <c r="A94" s="3">
        <v>37772</v>
      </c>
      <c r="B94" s="10">
        <v>5.4197084380225601E-2</v>
      </c>
    </row>
    <row r="95" spans="1:2" x14ac:dyDescent="0.25">
      <c r="A95" s="3">
        <v>37680</v>
      </c>
      <c r="B95" s="10">
        <v>5.1940405542381995E-2</v>
      </c>
    </row>
    <row r="96" spans="1:2" x14ac:dyDescent="0.25">
      <c r="A96" s="3">
        <v>37590</v>
      </c>
      <c r="B96" s="10">
        <v>3.5804097578863679E-2</v>
      </c>
    </row>
    <row r="97" spans="1:2" x14ac:dyDescent="0.25">
      <c r="A97" s="3">
        <v>37499</v>
      </c>
      <c r="B97" s="10">
        <v>1.5822253422991411E-2</v>
      </c>
    </row>
    <row r="98" spans="1:2" x14ac:dyDescent="0.25">
      <c r="A98" s="3">
        <v>37407</v>
      </c>
      <c r="B98" s="10">
        <v>-1.2659444170306511E-3</v>
      </c>
    </row>
    <row r="99" spans="1:2" x14ac:dyDescent="0.25">
      <c r="A99" s="3">
        <v>37315</v>
      </c>
      <c r="B99" s="10">
        <v>-7.8785027826565966E-3</v>
      </c>
    </row>
    <row r="100" spans="1:2" x14ac:dyDescent="0.25">
      <c r="A100" s="3">
        <v>37225</v>
      </c>
      <c r="B100" s="10">
        <v>6.2903190694743412E-3</v>
      </c>
    </row>
    <row r="101" spans="1:2" x14ac:dyDescent="0.25">
      <c r="A101" s="3">
        <v>37134</v>
      </c>
      <c r="B101" s="10">
        <v>3.0705828845048282E-2</v>
      </c>
    </row>
  </sheetData>
  <autoFilter ref="A1:B101" xr:uid="{B86BFAF1-48DB-40A3-8116-A59562CCB283}"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EF616-439A-49BF-8E6D-67D01F467EE0}">
  <dimension ref="A1:C316"/>
  <sheetViews>
    <sheetView zoomScale="175" zoomScaleNormal="175" workbookViewId="0">
      <selection activeCell="G9" sqref="G9"/>
    </sheetView>
  </sheetViews>
  <sheetFormatPr defaultRowHeight="15.75" x14ac:dyDescent="0.25"/>
  <cols>
    <col min="1" max="1" width="11" bestFit="1" customWidth="1"/>
    <col min="2" max="2" width="23.42578125" style="5" hidden="1" customWidth="1"/>
    <col min="3" max="3" width="24.85546875" style="5" bestFit="1" customWidth="1"/>
  </cols>
  <sheetData>
    <row r="1" spans="1:3" x14ac:dyDescent="0.25">
      <c r="A1" t="s">
        <v>0</v>
      </c>
      <c r="B1" s="5" t="s">
        <v>13</v>
      </c>
      <c r="C1" s="5" t="s">
        <v>14</v>
      </c>
    </row>
    <row r="2" spans="1:3" x14ac:dyDescent="0.25">
      <c r="A2" s="1">
        <v>46234</v>
      </c>
      <c r="B2" s="5">
        <v>-0.39900000000000002</v>
      </c>
      <c r="C2" s="5">
        <f>B2/100</f>
        <v>-3.9900000000000005E-3</v>
      </c>
    </row>
    <row r="3" spans="1:3" x14ac:dyDescent="0.25">
      <c r="A3" s="1">
        <v>46203</v>
      </c>
      <c r="B3" s="5">
        <v>-0.26600000000000001</v>
      </c>
      <c r="C3" s="5">
        <f t="shared" ref="C3:C66" si="0">B3/100</f>
        <v>-2.66E-3</v>
      </c>
    </row>
    <row r="4" spans="1:3" x14ac:dyDescent="0.25">
      <c r="A4" s="1">
        <v>46173</v>
      </c>
      <c r="B4" s="5">
        <v>1.6879999999999999</v>
      </c>
      <c r="C4" s="5">
        <f t="shared" si="0"/>
        <v>1.6879999999999999E-2</v>
      </c>
    </row>
    <row r="5" spans="1:3" x14ac:dyDescent="0.25">
      <c r="A5" s="1">
        <v>46142</v>
      </c>
      <c r="B5" s="5">
        <v>2.2789999999999999</v>
      </c>
      <c r="C5" s="5">
        <f t="shared" si="0"/>
        <v>2.2789999999999998E-2</v>
      </c>
    </row>
    <row r="6" spans="1:3" x14ac:dyDescent="0.25">
      <c r="A6" s="1">
        <v>46112</v>
      </c>
      <c r="B6" s="5">
        <v>0.90600000000000003</v>
      </c>
      <c r="C6" s="5">
        <f t="shared" si="0"/>
        <v>9.0600000000000003E-3</v>
      </c>
    </row>
    <row r="7" spans="1:3" x14ac:dyDescent="0.25">
      <c r="A7" s="1">
        <v>46081</v>
      </c>
      <c r="B7" s="5">
        <v>0.98499999999999999</v>
      </c>
      <c r="C7" s="5">
        <f t="shared" si="0"/>
        <v>9.8499999999999994E-3</v>
      </c>
    </row>
    <row r="8" spans="1:3" x14ac:dyDescent="0.25">
      <c r="A8" s="1">
        <v>46053</v>
      </c>
      <c r="B8" s="5">
        <v>0.495</v>
      </c>
      <c r="C8" s="5">
        <f t="shared" si="0"/>
        <v>4.9499999999999995E-3</v>
      </c>
    </row>
    <row r="9" spans="1:3" x14ac:dyDescent="0.25">
      <c r="A9" s="1">
        <v>46022</v>
      </c>
      <c r="B9" s="5">
        <v>0.14199999999999999</v>
      </c>
      <c r="C9" s="5">
        <f t="shared" si="0"/>
        <v>1.4199999999999998E-3</v>
      </c>
    </row>
    <row r="10" spans="1:3" x14ac:dyDescent="0.25">
      <c r="A10" s="1">
        <v>45991</v>
      </c>
      <c r="B10" s="5">
        <v>-6.64</v>
      </c>
      <c r="C10" s="5">
        <f t="shared" si="0"/>
        <v>-6.6400000000000001E-2</v>
      </c>
    </row>
    <row r="11" spans="1:3" x14ac:dyDescent="0.25">
      <c r="A11" s="1">
        <v>45961</v>
      </c>
      <c r="B11" s="5">
        <v>-4.5</v>
      </c>
      <c r="C11" s="5">
        <f t="shared" si="0"/>
        <v>-4.4999999999999998E-2</v>
      </c>
    </row>
    <row r="12" spans="1:3" x14ac:dyDescent="0.25">
      <c r="A12" s="1">
        <v>45930</v>
      </c>
      <c r="B12" s="5">
        <v>-0.14199999999999999</v>
      </c>
      <c r="C12" s="5">
        <f t="shared" si="0"/>
        <v>-1.4199999999999998E-3</v>
      </c>
    </row>
    <row r="13" spans="1:3" x14ac:dyDescent="0.25">
      <c r="A13" s="1">
        <v>45900</v>
      </c>
      <c r="B13" s="5">
        <v>-0.14199999999999999</v>
      </c>
      <c r="C13" s="5">
        <f t="shared" si="0"/>
        <v>-1.4199999999999998E-3</v>
      </c>
    </row>
    <row r="14" spans="1:3" x14ac:dyDescent="0.25">
      <c r="A14" s="1">
        <v>45869</v>
      </c>
      <c r="B14" s="5">
        <v>0.28399999999999997</v>
      </c>
      <c r="C14" s="5">
        <f t="shared" si="0"/>
        <v>2.8399999999999996E-3</v>
      </c>
    </row>
    <row r="15" spans="1:3" x14ac:dyDescent="0.25">
      <c r="A15" s="1">
        <v>45838</v>
      </c>
      <c r="B15" s="5">
        <v>-0.14199999999999999</v>
      </c>
      <c r="C15" s="5">
        <f t="shared" si="0"/>
        <v>-1.4199999999999998E-3</v>
      </c>
    </row>
    <row r="16" spans="1:3" x14ac:dyDescent="0.25">
      <c r="A16" s="1">
        <v>45808</v>
      </c>
      <c r="B16" s="5">
        <v>-0.49399999999999999</v>
      </c>
      <c r="C16" s="5">
        <f t="shared" si="0"/>
        <v>-4.9399999999999999E-3</v>
      </c>
    </row>
    <row r="17" spans="1:3" x14ac:dyDescent="0.25">
      <c r="A17" s="1">
        <v>45777</v>
      </c>
      <c r="B17" s="5">
        <v>7.0999999999999994E-2</v>
      </c>
      <c r="C17" s="5">
        <f t="shared" si="0"/>
        <v>7.0999999999999991E-4</v>
      </c>
    </row>
    <row r="18" spans="1:3" x14ac:dyDescent="0.25">
      <c r="A18" s="1">
        <v>45747</v>
      </c>
      <c r="B18" s="5">
        <v>-0.35199999999999998</v>
      </c>
      <c r="C18" s="5">
        <f t="shared" si="0"/>
        <v>-3.5199999999999997E-3</v>
      </c>
    </row>
    <row r="19" spans="1:3" x14ac:dyDescent="0.25">
      <c r="A19" s="1">
        <v>45716</v>
      </c>
      <c r="B19" s="5">
        <v>0.21199999999999999</v>
      </c>
      <c r="C19" s="5">
        <f t="shared" si="0"/>
        <v>2.1199999999999999E-3</v>
      </c>
    </row>
    <row r="20" spans="1:3" x14ac:dyDescent="0.25">
      <c r="A20" s="1">
        <v>45688</v>
      </c>
      <c r="B20" s="5">
        <v>0.28299999999999997</v>
      </c>
      <c r="C20" s="5">
        <f t="shared" si="0"/>
        <v>2.8299999999999996E-3</v>
      </c>
    </row>
    <row r="21" spans="1:3" x14ac:dyDescent="0.25">
      <c r="A21" s="1">
        <v>45657</v>
      </c>
      <c r="B21" s="5">
        <v>7.0999999999999994E-2</v>
      </c>
      <c r="C21" s="5">
        <f t="shared" si="0"/>
        <v>7.0999999999999991E-4</v>
      </c>
    </row>
    <row r="22" spans="1:3" x14ac:dyDescent="0.25">
      <c r="A22" s="1">
        <v>45626</v>
      </c>
      <c r="B22" s="5">
        <v>0.14199999999999999</v>
      </c>
      <c r="C22" s="5">
        <f t="shared" si="0"/>
        <v>1.4199999999999998E-3</v>
      </c>
    </row>
    <row r="23" spans="1:3" x14ac:dyDescent="0.25">
      <c r="A23" s="1">
        <v>45596</v>
      </c>
      <c r="B23" s="5">
        <v>0.14199999999999999</v>
      </c>
      <c r="C23" s="5">
        <f t="shared" si="0"/>
        <v>1.4199999999999998E-3</v>
      </c>
    </row>
    <row r="24" spans="1:3" x14ac:dyDescent="0.25">
      <c r="A24" s="1">
        <v>45565</v>
      </c>
      <c r="B24" s="5">
        <v>-0.35399999999999998</v>
      </c>
      <c r="C24" s="5">
        <f t="shared" si="0"/>
        <v>-3.5399999999999997E-3</v>
      </c>
    </row>
    <row r="25" spans="1:3" x14ac:dyDescent="0.25">
      <c r="A25" s="1">
        <v>45535</v>
      </c>
      <c r="B25" s="5">
        <v>-0.28199999999999997</v>
      </c>
      <c r="C25" s="5">
        <f t="shared" si="0"/>
        <v>-2.8199999999999996E-3</v>
      </c>
    </row>
    <row r="26" spans="1:3" x14ac:dyDescent="0.25">
      <c r="A26" s="1">
        <v>45504</v>
      </c>
      <c r="B26" s="5">
        <v>0.14099999999999999</v>
      </c>
      <c r="C26" s="5">
        <f t="shared" si="0"/>
        <v>1.4099999999999998E-3</v>
      </c>
    </row>
    <row r="27" spans="1:3" x14ac:dyDescent="0.25">
      <c r="A27" s="1">
        <v>45473</v>
      </c>
      <c r="B27" s="5">
        <v>7.0999999999999994E-2</v>
      </c>
      <c r="C27" s="5">
        <f t="shared" si="0"/>
        <v>7.0999999999999991E-4</v>
      </c>
    </row>
    <row r="28" spans="1:3" x14ac:dyDescent="0.25">
      <c r="A28" s="1">
        <v>45443</v>
      </c>
      <c r="B28" s="5">
        <v>-0.14099999999999999</v>
      </c>
      <c r="C28" s="5">
        <f t="shared" si="0"/>
        <v>-1.4099999999999998E-3</v>
      </c>
    </row>
    <row r="29" spans="1:3" x14ac:dyDescent="0.25">
      <c r="A29" s="1">
        <v>45412</v>
      </c>
      <c r="B29" s="5">
        <v>0.85399999999999998</v>
      </c>
      <c r="C29" s="5">
        <f t="shared" si="0"/>
        <v>8.539999999999999E-3</v>
      </c>
    </row>
    <row r="30" spans="1:3" x14ac:dyDescent="0.25">
      <c r="A30" s="1">
        <v>45382</v>
      </c>
      <c r="B30" s="5">
        <v>0.57299999999999995</v>
      </c>
      <c r="C30" s="5">
        <f t="shared" si="0"/>
        <v>5.7299999999999999E-3</v>
      </c>
    </row>
    <row r="31" spans="1:3" x14ac:dyDescent="0.25">
      <c r="A31" s="1">
        <v>45351</v>
      </c>
      <c r="B31" s="5">
        <v>0.215</v>
      </c>
      <c r="C31" s="5">
        <f t="shared" si="0"/>
        <v>2.15E-3</v>
      </c>
    </row>
    <row r="32" spans="1:3" x14ac:dyDescent="0.25">
      <c r="A32" s="1">
        <v>45322</v>
      </c>
      <c r="B32" s="5">
        <v>0.72299999999999998</v>
      </c>
      <c r="C32" s="5">
        <f t="shared" si="0"/>
        <v>7.2299999999999994E-3</v>
      </c>
    </row>
    <row r="33" spans="1:3" x14ac:dyDescent="0.25">
      <c r="A33" s="1">
        <v>45291</v>
      </c>
      <c r="B33" s="5">
        <v>-0.71699999999999997</v>
      </c>
      <c r="C33" s="5">
        <f t="shared" si="0"/>
        <v>-7.1699999999999993E-3</v>
      </c>
    </row>
    <row r="34" spans="1:3" x14ac:dyDescent="0.25">
      <c r="A34" s="1">
        <v>45260</v>
      </c>
      <c r="B34" s="5">
        <v>-0.5</v>
      </c>
      <c r="C34" s="5">
        <f t="shared" si="0"/>
        <v>-5.0000000000000001E-3</v>
      </c>
    </row>
    <row r="35" spans="1:3" x14ac:dyDescent="0.25">
      <c r="A35" s="1">
        <v>45230</v>
      </c>
      <c r="B35" s="5">
        <v>-0.63800000000000001</v>
      </c>
      <c r="C35" s="5">
        <f t="shared" si="0"/>
        <v>-6.3800000000000003E-3</v>
      </c>
    </row>
    <row r="36" spans="1:3" x14ac:dyDescent="0.25">
      <c r="A36" s="1">
        <v>45199</v>
      </c>
      <c r="B36" s="5">
        <v>0.499</v>
      </c>
      <c r="C36" s="5">
        <f t="shared" si="0"/>
        <v>4.9899999999999996E-3</v>
      </c>
    </row>
    <row r="37" spans="1:3" x14ac:dyDescent="0.25">
      <c r="A37" s="1">
        <v>45169</v>
      </c>
      <c r="B37" s="5">
        <v>0.64600000000000002</v>
      </c>
      <c r="C37" s="5">
        <f t="shared" si="0"/>
        <v>6.4600000000000005E-3</v>
      </c>
    </row>
    <row r="38" spans="1:3" x14ac:dyDescent="0.25">
      <c r="A38" s="1">
        <v>45138</v>
      </c>
      <c r="B38" s="5">
        <v>0</v>
      </c>
      <c r="C38" s="5">
        <f t="shared" si="0"/>
        <v>0</v>
      </c>
    </row>
    <row r="39" spans="1:3" x14ac:dyDescent="0.25">
      <c r="A39" s="1">
        <v>45107</v>
      </c>
      <c r="B39" s="5">
        <v>-0.215</v>
      </c>
      <c r="C39" s="5">
        <f t="shared" si="0"/>
        <v>-2.15E-3</v>
      </c>
    </row>
    <row r="40" spans="1:3" x14ac:dyDescent="0.25">
      <c r="A40" s="1">
        <v>45077</v>
      </c>
      <c r="B40" s="5">
        <v>-0.42799999999999999</v>
      </c>
      <c r="C40" s="5">
        <f t="shared" si="0"/>
        <v>-4.28E-3</v>
      </c>
    </row>
    <row r="41" spans="1:3" x14ac:dyDescent="0.25">
      <c r="A41" s="1">
        <v>45046</v>
      </c>
      <c r="B41" s="5">
        <v>0.28599999999999998</v>
      </c>
      <c r="C41" s="5">
        <f t="shared" si="0"/>
        <v>2.8599999999999997E-3</v>
      </c>
    </row>
    <row r="42" spans="1:3" x14ac:dyDescent="0.25">
      <c r="A42" s="1">
        <v>45016</v>
      </c>
      <c r="B42" s="5">
        <v>-0.78</v>
      </c>
      <c r="C42" s="5">
        <f t="shared" si="0"/>
        <v>-7.8000000000000005E-3</v>
      </c>
    </row>
    <row r="43" spans="1:3" x14ac:dyDescent="0.25">
      <c r="A43" s="1">
        <v>44985</v>
      </c>
      <c r="B43" s="5">
        <v>-0.21199999999999999</v>
      </c>
      <c r="C43" s="5">
        <f t="shared" si="0"/>
        <v>-2.1199999999999999E-3</v>
      </c>
    </row>
    <row r="44" spans="1:3" x14ac:dyDescent="0.25">
      <c r="A44" s="1">
        <v>44957</v>
      </c>
      <c r="B44" s="5">
        <v>-0.35299999999999998</v>
      </c>
      <c r="C44" s="5">
        <f t="shared" si="0"/>
        <v>-3.5299999999999997E-3</v>
      </c>
    </row>
    <row r="45" spans="1:3" x14ac:dyDescent="0.25">
      <c r="A45" s="1">
        <v>44926</v>
      </c>
      <c r="B45" s="5">
        <v>0.14099999999999999</v>
      </c>
      <c r="C45" s="5">
        <f t="shared" si="0"/>
        <v>1.4099999999999998E-3</v>
      </c>
    </row>
    <row r="46" spans="1:3" x14ac:dyDescent="0.25">
      <c r="A46" s="1">
        <v>44895</v>
      </c>
      <c r="B46" s="5">
        <v>-0.77100000000000002</v>
      </c>
      <c r="C46" s="5">
        <f t="shared" si="0"/>
        <v>-7.7099999999999998E-3</v>
      </c>
    </row>
    <row r="47" spans="1:3" x14ac:dyDescent="0.25">
      <c r="A47" s="1">
        <v>44865</v>
      </c>
      <c r="B47" s="5">
        <v>-0.28000000000000003</v>
      </c>
      <c r="C47" s="5">
        <f t="shared" si="0"/>
        <v>-2.8000000000000004E-3</v>
      </c>
    </row>
    <row r="48" spans="1:3" x14ac:dyDescent="0.25">
      <c r="A48" s="1">
        <v>44834</v>
      </c>
      <c r="B48" s="5">
        <v>-1.0369999999999999</v>
      </c>
      <c r="C48" s="5">
        <f t="shared" si="0"/>
        <v>-1.0369999999999999E-2</v>
      </c>
    </row>
    <row r="49" spans="1:3" x14ac:dyDescent="0.25">
      <c r="A49" s="1">
        <v>44804</v>
      </c>
      <c r="B49" s="5">
        <v>-1.23</v>
      </c>
      <c r="C49" s="5">
        <f t="shared" si="0"/>
        <v>-1.23E-2</v>
      </c>
    </row>
    <row r="50" spans="1:3" x14ac:dyDescent="0.25">
      <c r="A50" s="1">
        <v>44773</v>
      </c>
      <c r="B50" s="5">
        <v>-1.4139999999999999</v>
      </c>
      <c r="C50" s="5">
        <f t="shared" si="0"/>
        <v>-1.414E-2</v>
      </c>
    </row>
    <row r="51" spans="1:3" x14ac:dyDescent="0.25">
      <c r="A51" s="1">
        <v>44742</v>
      </c>
      <c r="B51" s="5">
        <v>0.20200000000000001</v>
      </c>
      <c r="C51" s="5">
        <f t="shared" si="0"/>
        <v>2.0200000000000001E-3</v>
      </c>
    </row>
    <row r="52" spans="1:3" x14ac:dyDescent="0.25">
      <c r="A52" s="1">
        <v>44712</v>
      </c>
      <c r="B52" s="5">
        <v>0.47499999999999998</v>
      </c>
      <c r="C52" s="5">
        <f t="shared" si="0"/>
        <v>4.7499999999999999E-3</v>
      </c>
    </row>
    <row r="53" spans="1:3" x14ac:dyDescent="0.25">
      <c r="A53" s="1">
        <v>44681</v>
      </c>
      <c r="B53" s="5">
        <v>0.47699999999999998</v>
      </c>
      <c r="C53" s="5">
        <f t="shared" si="0"/>
        <v>4.7699999999999999E-3</v>
      </c>
    </row>
    <row r="54" spans="1:3" x14ac:dyDescent="0.25">
      <c r="A54" s="1">
        <v>44651</v>
      </c>
      <c r="B54" s="5">
        <v>2.9449999999999998</v>
      </c>
      <c r="C54" s="5">
        <f t="shared" si="0"/>
        <v>2.9449999999999997E-2</v>
      </c>
    </row>
    <row r="55" spans="1:3" x14ac:dyDescent="0.25">
      <c r="A55" s="1">
        <v>44620</v>
      </c>
      <c r="B55" s="5">
        <v>1.784</v>
      </c>
      <c r="C55" s="5">
        <f t="shared" si="0"/>
        <v>1.7840000000000002E-2</v>
      </c>
    </row>
    <row r="56" spans="1:3" x14ac:dyDescent="0.25">
      <c r="A56" s="1">
        <v>44592</v>
      </c>
      <c r="B56" s="5">
        <v>1.9650000000000001</v>
      </c>
      <c r="C56" s="5">
        <f t="shared" si="0"/>
        <v>1.9650000000000001E-2</v>
      </c>
    </row>
    <row r="57" spans="1:3" x14ac:dyDescent="0.25">
      <c r="A57" s="1">
        <v>44561</v>
      </c>
      <c r="B57" s="5">
        <v>-0.36299999999999999</v>
      </c>
      <c r="C57" s="5">
        <f t="shared" si="0"/>
        <v>-3.63E-3</v>
      </c>
    </row>
    <row r="58" spans="1:3" x14ac:dyDescent="0.25">
      <c r="A58" s="1">
        <v>44530</v>
      </c>
      <c r="B58" s="5">
        <v>0.73</v>
      </c>
      <c r="C58" s="5">
        <f t="shared" si="0"/>
        <v>7.3000000000000001E-3</v>
      </c>
    </row>
    <row r="59" spans="1:3" x14ac:dyDescent="0.25">
      <c r="A59" s="1">
        <v>44500</v>
      </c>
      <c r="B59" s="5">
        <v>1.4830000000000001</v>
      </c>
      <c r="C59" s="5">
        <f t="shared" si="0"/>
        <v>1.4830000000000001E-2</v>
      </c>
    </row>
    <row r="60" spans="1:3" x14ac:dyDescent="0.25">
      <c r="A60" s="1">
        <v>44469</v>
      </c>
      <c r="B60" s="5">
        <v>0.44700000000000001</v>
      </c>
      <c r="C60" s="5">
        <f t="shared" si="0"/>
        <v>4.47E-3</v>
      </c>
    </row>
    <row r="61" spans="1:3" x14ac:dyDescent="0.25">
      <c r="A61" s="1">
        <v>44439</v>
      </c>
      <c r="B61" s="5">
        <v>-0.223</v>
      </c>
      <c r="C61" s="5">
        <f t="shared" si="0"/>
        <v>-2.2300000000000002E-3</v>
      </c>
    </row>
    <row r="62" spans="1:3" x14ac:dyDescent="0.25">
      <c r="A62" s="1">
        <v>44408</v>
      </c>
      <c r="B62" s="5">
        <v>0.29799999999999999</v>
      </c>
      <c r="C62" s="5">
        <f t="shared" si="0"/>
        <v>2.98E-3</v>
      </c>
    </row>
    <row r="63" spans="1:3" x14ac:dyDescent="0.25">
      <c r="A63" s="1">
        <v>44377</v>
      </c>
      <c r="B63" s="5">
        <v>1.054</v>
      </c>
      <c r="C63" s="5">
        <f t="shared" si="0"/>
        <v>1.0540000000000001E-2</v>
      </c>
    </row>
    <row r="64" spans="1:3" x14ac:dyDescent="0.25">
      <c r="A64" s="1">
        <v>44347</v>
      </c>
      <c r="B64" s="5">
        <v>1.2969999999999999</v>
      </c>
      <c r="C64" s="5">
        <f t="shared" si="0"/>
        <v>1.2969999999999999E-2</v>
      </c>
    </row>
    <row r="65" spans="1:3" x14ac:dyDescent="0.25">
      <c r="A65" s="1">
        <v>44316</v>
      </c>
      <c r="B65" s="5">
        <v>0.92400000000000004</v>
      </c>
      <c r="C65" s="5">
        <f t="shared" si="0"/>
        <v>9.2399999999999999E-3</v>
      </c>
    </row>
    <row r="66" spans="1:3" x14ac:dyDescent="0.25">
      <c r="A66" s="1">
        <v>44286</v>
      </c>
      <c r="B66" s="5">
        <v>1.484</v>
      </c>
      <c r="C66" s="5">
        <f t="shared" si="0"/>
        <v>1.4839999999999999E-2</v>
      </c>
    </row>
    <row r="67" spans="1:3" x14ac:dyDescent="0.25">
      <c r="A67" s="1">
        <v>44255</v>
      </c>
      <c r="B67" s="5">
        <v>1.1859999999999999</v>
      </c>
      <c r="C67" s="5">
        <f t="shared" ref="C67:C130" si="1">B67/100</f>
        <v>1.1859999999999999E-2</v>
      </c>
    </row>
    <row r="68" spans="1:3" x14ac:dyDescent="0.25">
      <c r="A68" s="1">
        <v>44227</v>
      </c>
      <c r="B68" s="5">
        <v>1.5249999999999999</v>
      </c>
      <c r="C68" s="5">
        <f t="shared" si="1"/>
        <v>1.525E-2</v>
      </c>
    </row>
    <row r="69" spans="1:3" x14ac:dyDescent="0.25">
      <c r="A69" s="1">
        <v>44196</v>
      </c>
      <c r="B69" s="5">
        <v>0.97199999999999998</v>
      </c>
      <c r="C69" s="5">
        <f t="shared" si="1"/>
        <v>9.7199999999999995E-3</v>
      </c>
    </row>
    <row r="70" spans="1:3" x14ac:dyDescent="0.25">
      <c r="A70" s="1">
        <v>44165</v>
      </c>
      <c r="B70" s="5">
        <v>8.1000000000000003E-2</v>
      </c>
      <c r="C70" s="5">
        <f t="shared" si="1"/>
        <v>8.1000000000000006E-4</v>
      </c>
    </row>
    <row r="71" spans="1:3" x14ac:dyDescent="0.25">
      <c r="A71" s="1">
        <v>44135</v>
      </c>
      <c r="B71" s="5">
        <v>-8.1000000000000003E-2</v>
      </c>
      <c r="C71" s="5">
        <f t="shared" si="1"/>
        <v>-8.1000000000000006E-4</v>
      </c>
    </row>
    <row r="72" spans="1:3" x14ac:dyDescent="0.25">
      <c r="A72" s="1">
        <v>44104</v>
      </c>
      <c r="B72" s="5">
        <v>0.16200000000000001</v>
      </c>
      <c r="C72" s="5">
        <f t="shared" si="1"/>
        <v>1.6200000000000001E-3</v>
      </c>
    </row>
    <row r="73" spans="1:3" x14ac:dyDescent="0.25">
      <c r="A73" s="1">
        <v>44074</v>
      </c>
      <c r="B73" s="5">
        <v>0.90100000000000002</v>
      </c>
      <c r="C73" s="5">
        <f t="shared" si="1"/>
        <v>9.0100000000000006E-3</v>
      </c>
    </row>
    <row r="74" spans="1:3" x14ac:dyDescent="0.25">
      <c r="A74" s="1">
        <v>44043</v>
      </c>
      <c r="B74" s="5">
        <v>1.244</v>
      </c>
      <c r="C74" s="5">
        <f t="shared" si="1"/>
        <v>1.244E-2</v>
      </c>
    </row>
    <row r="75" spans="1:3" x14ac:dyDescent="0.25">
      <c r="A75" s="1">
        <v>44012</v>
      </c>
      <c r="B75" s="5">
        <v>1.345</v>
      </c>
      <c r="C75" s="5">
        <f t="shared" si="1"/>
        <v>1.345E-2</v>
      </c>
    </row>
    <row r="76" spans="1:3" x14ac:dyDescent="0.25">
      <c r="A76" s="1">
        <v>43982</v>
      </c>
      <c r="B76" s="5">
        <v>0.67700000000000005</v>
      </c>
      <c r="C76" s="5">
        <f t="shared" si="1"/>
        <v>6.7700000000000008E-3</v>
      </c>
    </row>
    <row r="77" spans="1:3" x14ac:dyDescent="0.25">
      <c r="A77" s="1">
        <v>43951</v>
      </c>
      <c r="B77" s="5">
        <v>-2.556</v>
      </c>
      <c r="C77" s="5">
        <f t="shared" si="1"/>
        <v>-2.5559999999999999E-2</v>
      </c>
    </row>
    <row r="78" spans="1:3" x14ac:dyDescent="0.25">
      <c r="A78" s="1">
        <v>43921</v>
      </c>
      <c r="B78" s="5">
        <v>-2.4140000000000001</v>
      </c>
      <c r="C78" s="5">
        <f t="shared" si="1"/>
        <v>-2.4140000000000002E-2</v>
      </c>
    </row>
    <row r="79" spans="1:3" x14ac:dyDescent="0.25">
      <c r="A79" s="1">
        <v>43890</v>
      </c>
      <c r="B79" s="5">
        <v>-0.71899999999999997</v>
      </c>
      <c r="C79" s="5">
        <f t="shared" si="1"/>
        <v>-7.1899999999999993E-3</v>
      </c>
    </row>
    <row r="80" spans="1:3" x14ac:dyDescent="0.25">
      <c r="A80" s="1">
        <v>43861</v>
      </c>
      <c r="B80" s="5">
        <v>0.16</v>
      </c>
      <c r="C80" s="5">
        <f t="shared" si="1"/>
        <v>1.6000000000000001E-3</v>
      </c>
    </row>
    <row r="81" spans="1:3" x14ac:dyDescent="0.25">
      <c r="A81" s="1">
        <v>43830</v>
      </c>
      <c r="B81" s="5">
        <v>0.24099999999999999</v>
      </c>
      <c r="C81" s="5">
        <f t="shared" si="1"/>
        <v>2.4099999999999998E-3</v>
      </c>
    </row>
    <row r="82" spans="1:3" x14ac:dyDescent="0.25">
      <c r="A82" s="1">
        <v>43799</v>
      </c>
      <c r="B82" s="5">
        <v>0.161</v>
      </c>
      <c r="C82" s="5">
        <f t="shared" si="1"/>
        <v>1.6100000000000001E-3</v>
      </c>
    </row>
    <row r="83" spans="1:3" x14ac:dyDescent="0.25">
      <c r="A83" s="1">
        <v>43769</v>
      </c>
      <c r="B83" s="5">
        <v>-0.4</v>
      </c>
      <c r="C83" s="5">
        <f t="shared" si="1"/>
        <v>-4.0000000000000001E-3</v>
      </c>
    </row>
    <row r="84" spans="1:3" x14ac:dyDescent="0.25">
      <c r="A84" s="1">
        <v>43738</v>
      </c>
      <c r="B84" s="5">
        <v>0.08</v>
      </c>
      <c r="C84" s="5">
        <f t="shared" si="1"/>
        <v>8.0000000000000004E-4</v>
      </c>
    </row>
    <row r="85" spans="1:3" x14ac:dyDescent="0.25">
      <c r="A85" s="1">
        <v>43708</v>
      </c>
      <c r="B85" s="5">
        <v>-0.55700000000000005</v>
      </c>
      <c r="C85" s="5">
        <f t="shared" si="1"/>
        <v>-5.5700000000000003E-3</v>
      </c>
    </row>
    <row r="86" spans="1:3" x14ac:dyDescent="0.25">
      <c r="A86" s="1">
        <v>43677</v>
      </c>
      <c r="B86" s="5">
        <v>0</v>
      </c>
      <c r="C86" s="5">
        <f t="shared" si="1"/>
        <v>0</v>
      </c>
    </row>
    <row r="87" spans="1:3" x14ac:dyDescent="0.25">
      <c r="A87" s="1">
        <v>43646</v>
      </c>
      <c r="B87" s="5">
        <v>-1.1020000000000001</v>
      </c>
      <c r="C87" s="5">
        <f t="shared" si="1"/>
        <v>-1.102E-2</v>
      </c>
    </row>
    <row r="88" spans="1:3" x14ac:dyDescent="0.25">
      <c r="A88" s="1">
        <v>43616</v>
      </c>
      <c r="B88" s="5">
        <v>0.158</v>
      </c>
      <c r="C88" s="5">
        <f t="shared" si="1"/>
        <v>1.58E-3</v>
      </c>
    </row>
    <row r="89" spans="1:3" x14ac:dyDescent="0.25">
      <c r="A89" s="1">
        <v>43585</v>
      </c>
      <c r="B89" s="5">
        <v>0.158</v>
      </c>
      <c r="C89" s="5">
        <f t="shared" si="1"/>
        <v>1.58E-3</v>
      </c>
    </row>
    <row r="90" spans="1:3" x14ac:dyDescent="0.25">
      <c r="A90" s="1">
        <v>43555</v>
      </c>
      <c r="B90" s="5">
        <v>0.55600000000000005</v>
      </c>
      <c r="C90" s="5">
        <f t="shared" si="1"/>
        <v>5.5600000000000007E-3</v>
      </c>
    </row>
    <row r="91" spans="1:3" x14ac:dyDescent="0.25">
      <c r="A91" s="1">
        <v>43524</v>
      </c>
      <c r="B91" s="5">
        <v>1.0429999999999999</v>
      </c>
      <c r="C91" s="5">
        <f t="shared" si="1"/>
        <v>1.043E-2</v>
      </c>
    </row>
    <row r="92" spans="1:3" x14ac:dyDescent="0.25">
      <c r="A92" s="1">
        <v>43496</v>
      </c>
      <c r="B92" s="5">
        <v>0.161</v>
      </c>
      <c r="C92" s="5">
        <f t="shared" si="1"/>
        <v>1.6100000000000001E-3</v>
      </c>
    </row>
    <row r="93" spans="1:3" x14ac:dyDescent="0.25">
      <c r="A93" s="1">
        <v>43465</v>
      </c>
      <c r="B93" s="5">
        <v>-1.4259999999999999</v>
      </c>
      <c r="C93" s="5">
        <f t="shared" si="1"/>
        <v>-1.426E-2</v>
      </c>
    </row>
    <row r="94" spans="1:3" x14ac:dyDescent="0.25">
      <c r="A94" s="1">
        <v>43434</v>
      </c>
      <c r="B94" s="5">
        <v>-1.637</v>
      </c>
      <c r="C94" s="5">
        <f t="shared" si="1"/>
        <v>-1.6369999999999999E-2</v>
      </c>
    </row>
    <row r="95" spans="1:3" x14ac:dyDescent="0.25">
      <c r="A95" s="1">
        <v>43404</v>
      </c>
      <c r="B95" s="5">
        <v>0.47</v>
      </c>
      <c r="C95" s="5">
        <f t="shared" si="1"/>
        <v>4.6999999999999993E-3</v>
      </c>
    </row>
    <row r="96" spans="1:3" x14ac:dyDescent="0.25">
      <c r="A96" s="1">
        <v>43373</v>
      </c>
      <c r="B96" s="5">
        <v>7.8E-2</v>
      </c>
      <c r="C96" s="5">
        <f t="shared" si="1"/>
        <v>7.7999999999999999E-4</v>
      </c>
    </row>
    <row r="97" spans="1:3" x14ac:dyDescent="0.25">
      <c r="A97" s="1">
        <v>43343</v>
      </c>
      <c r="B97" s="5">
        <v>-0.39</v>
      </c>
      <c r="C97" s="5">
        <f t="shared" si="1"/>
        <v>-3.9000000000000003E-3</v>
      </c>
    </row>
    <row r="98" spans="1:3" x14ac:dyDescent="0.25">
      <c r="A98" s="1">
        <v>43312</v>
      </c>
      <c r="B98" s="5">
        <v>-7.8E-2</v>
      </c>
      <c r="C98" s="5">
        <f t="shared" si="1"/>
        <v>-7.7999999999999999E-4</v>
      </c>
    </row>
    <row r="99" spans="1:3" x14ac:dyDescent="0.25">
      <c r="A99" s="1">
        <v>43281</v>
      </c>
      <c r="B99" s="5">
        <v>0</v>
      </c>
      <c r="C99" s="5">
        <f t="shared" si="1"/>
        <v>0</v>
      </c>
    </row>
    <row r="100" spans="1:3" x14ac:dyDescent="0.25">
      <c r="A100" s="1">
        <v>43251</v>
      </c>
      <c r="B100" s="5">
        <v>0.86499999999999999</v>
      </c>
      <c r="C100" s="5">
        <f t="shared" si="1"/>
        <v>8.6499999999999997E-3</v>
      </c>
    </row>
    <row r="101" spans="1:3" x14ac:dyDescent="0.25">
      <c r="A101" s="1">
        <v>43220</v>
      </c>
      <c r="B101" s="5">
        <v>0.47399999999999998</v>
      </c>
      <c r="C101" s="5">
        <f t="shared" si="1"/>
        <v>4.7399999999999994E-3</v>
      </c>
    </row>
    <row r="102" spans="1:3" x14ac:dyDescent="0.25">
      <c r="A102" s="1">
        <v>43190</v>
      </c>
      <c r="B102" s="5">
        <v>-0.23699999999999999</v>
      </c>
      <c r="C102" s="5">
        <f t="shared" si="1"/>
        <v>-2.3699999999999997E-3</v>
      </c>
    </row>
    <row r="103" spans="1:3" x14ac:dyDescent="0.25">
      <c r="A103" s="1">
        <v>43159</v>
      </c>
      <c r="B103" s="5">
        <v>0.23699999999999999</v>
      </c>
      <c r="C103" s="5">
        <f t="shared" si="1"/>
        <v>2.3699999999999997E-3</v>
      </c>
    </row>
    <row r="104" spans="1:3" x14ac:dyDescent="0.25">
      <c r="A104" s="1">
        <v>43131</v>
      </c>
      <c r="B104" s="5">
        <v>0.79700000000000004</v>
      </c>
      <c r="C104" s="5">
        <f t="shared" si="1"/>
        <v>7.9699999999999997E-3</v>
      </c>
    </row>
    <row r="105" spans="1:3" x14ac:dyDescent="0.25">
      <c r="A105" s="1">
        <v>43100</v>
      </c>
      <c r="B105" s="5">
        <v>0.16</v>
      </c>
      <c r="C105" s="5">
        <f t="shared" si="1"/>
        <v>1.6000000000000001E-3</v>
      </c>
    </row>
    <row r="106" spans="1:3" x14ac:dyDescent="0.25">
      <c r="A106" s="1">
        <v>43069</v>
      </c>
      <c r="B106" s="5">
        <v>0.96699999999999997</v>
      </c>
      <c r="C106" s="5">
        <f t="shared" si="1"/>
        <v>9.6699999999999998E-3</v>
      </c>
    </row>
    <row r="107" spans="1:3" x14ac:dyDescent="0.25">
      <c r="A107" s="1">
        <v>43039</v>
      </c>
      <c r="B107" s="5">
        <v>0.161</v>
      </c>
      <c r="C107" s="5">
        <f t="shared" si="1"/>
        <v>1.6100000000000001E-3</v>
      </c>
    </row>
    <row r="108" spans="1:3" x14ac:dyDescent="0.25">
      <c r="A108" s="1">
        <v>43008</v>
      </c>
      <c r="B108" s="5">
        <v>0.81399999999999995</v>
      </c>
      <c r="C108" s="5">
        <f t="shared" si="1"/>
        <v>8.1399999999999997E-3</v>
      </c>
    </row>
    <row r="109" spans="1:3" x14ac:dyDescent="0.25">
      <c r="A109" s="1">
        <v>42978</v>
      </c>
      <c r="B109" s="5">
        <v>0.57299999999999995</v>
      </c>
      <c r="C109" s="5">
        <f t="shared" si="1"/>
        <v>5.7299999999999999E-3</v>
      </c>
    </row>
    <row r="110" spans="1:3" x14ac:dyDescent="0.25">
      <c r="A110" s="1">
        <v>42947</v>
      </c>
      <c r="B110" s="5">
        <v>-0.16300000000000001</v>
      </c>
      <c r="C110" s="5">
        <f t="shared" si="1"/>
        <v>-1.6300000000000002E-3</v>
      </c>
    </row>
    <row r="111" spans="1:3" x14ac:dyDescent="0.25">
      <c r="A111" s="1">
        <v>42916</v>
      </c>
      <c r="B111" s="5">
        <v>-0.24399999999999999</v>
      </c>
      <c r="C111" s="5">
        <f t="shared" si="1"/>
        <v>-2.4399999999999999E-3</v>
      </c>
    </row>
    <row r="112" spans="1:3" x14ac:dyDescent="0.25">
      <c r="A112" s="1">
        <v>42886</v>
      </c>
      <c r="B112" s="5">
        <v>-8.1000000000000003E-2</v>
      </c>
      <c r="C112" s="5">
        <f t="shared" si="1"/>
        <v>-8.1000000000000006E-4</v>
      </c>
    </row>
    <row r="113" spans="1:3" x14ac:dyDescent="0.25">
      <c r="A113" s="1">
        <v>42855</v>
      </c>
      <c r="B113" s="5">
        <v>0.245</v>
      </c>
      <c r="C113" s="5">
        <f t="shared" si="1"/>
        <v>2.4499999999999999E-3</v>
      </c>
    </row>
    <row r="114" spans="1:3" x14ac:dyDescent="0.25">
      <c r="A114" s="1">
        <v>42825</v>
      </c>
      <c r="B114" s="5">
        <v>-0.16300000000000001</v>
      </c>
      <c r="C114" s="5">
        <f t="shared" si="1"/>
        <v>-1.6300000000000002E-3</v>
      </c>
    </row>
    <row r="115" spans="1:3" x14ac:dyDescent="0.25">
      <c r="A115" s="1">
        <v>42794</v>
      </c>
      <c r="B115" s="5">
        <v>0.32700000000000001</v>
      </c>
      <c r="C115" s="5">
        <f t="shared" si="1"/>
        <v>3.2700000000000003E-3</v>
      </c>
    </row>
    <row r="116" spans="1:3" x14ac:dyDescent="0.25">
      <c r="A116" s="1">
        <v>42766</v>
      </c>
      <c r="B116" s="5">
        <v>0.57599999999999996</v>
      </c>
      <c r="C116" s="5">
        <f t="shared" si="1"/>
        <v>5.7599999999999995E-3</v>
      </c>
    </row>
    <row r="117" spans="1:3" x14ac:dyDescent="0.25">
      <c r="A117" s="1">
        <v>42735</v>
      </c>
      <c r="B117" s="5">
        <v>0.41299999999999998</v>
      </c>
      <c r="C117" s="5">
        <f t="shared" si="1"/>
        <v>4.13E-3</v>
      </c>
    </row>
    <row r="118" spans="1:3" x14ac:dyDescent="0.25">
      <c r="A118" s="1">
        <v>42704</v>
      </c>
      <c r="B118" s="5">
        <v>-8.3000000000000004E-2</v>
      </c>
      <c r="C118" s="5">
        <f t="shared" si="1"/>
        <v>-8.3000000000000001E-4</v>
      </c>
    </row>
    <row r="119" spans="1:3" x14ac:dyDescent="0.25">
      <c r="A119" s="1">
        <v>42674</v>
      </c>
      <c r="B119" s="5">
        <v>0.498</v>
      </c>
      <c r="C119" s="5">
        <f t="shared" si="1"/>
        <v>4.9800000000000001E-3</v>
      </c>
    </row>
    <row r="120" spans="1:3" x14ac:dyDescent="0.25">
      <c r="A120" s="1">
        <v>42643</v>
      </c>
      <c r="B120" s="5">
        <v>8.3000000000000004E-2</v>
      </c>
      <c r="C120" s="5">
        <f t="shared" si="1"/>
        <v>8.3000000000000001E-4</v>
      </c>
    </row>
    <row r="121" spans="1:3" x14ac:dyDescent="0.25">
      <c r="A121" s="1">
        <v>42613</v>
      </c>
      <c r="B121" s="5">
        <v>-0.248</v>
      </c>
      <c r="C121" s="5">
        <f t="shared" si="1"/>
        <v>-2.48E-3</v>
      </c>
    </row>
    <row r="122" spans="1:3" x14ac:dyDescent="0.25">
      <c r="A122" s="1">
        <v>42582</v>
      </c>
      <c r="B122" s="5">
        <v>8.3000000000000004E-2</v>
      </c>
      <c r="C122" s="5">
        <f t="shared" si="1"/>
        <v>8.3000000000000001E-4</v>
      </c>
    </row>
    <row r="123" spans="1:3" x14ac:dyDescent="0.25">
      <c r="A123" s="1">
        <v>42551</v>
      </c>
      <c r="B123" s="5">
        <v>0.66700000000000004</v>
      </c>
      <c r="C123" s="5">
        <f t="shared" si="1"/>
        <v>6.6700000000000006E-3</v>
      </c>
    </row>
    <row r="124" spans="1:3" x14ac:dyDescent="0.25">
      <c r="A124" s="1">
        <v>42521</v>
      </c>
      <c r="B124" s="5">
        <v>1.181</v>
      </c>
      <c r="C124" s="5">
        <f t="shared" si="1"/>
        <v>1.1810000000000001E-2</v>
      </c>
    </row>
    <row r="125" spans="1:3" x14ac:dyDescent="0.25">
      <c r="A125" s="1">
        <v>42490</v>
      </c>
      <c r="B125" s="5">
        <v>0.68</v>
      </c>
      <c r="C125" s="5">
        <f t="shared" si="1"/>
        <v>6.8000000000000005E-3</v>
      </c>
    </row>
    <row r="126" spans="1:3" x14ac:dyDescent="0.25">
      <c r="A126" s="1">
        <v>42460</v>
      </c>
      <c r="B126" s="5">
        <v>0.42699999999999999</v>
      </c>
      <c r="C126" s="5">
        <f t="shared" si="1"/>
        <v>4.2699999999999995E-3</v>
      </c>
    </row>
    <row r="127" spans="1:3" x14ac:dyDescent="0.25">
      <c r="A127" s="1">
        <v>42429</v>
      </c>
      <c r="B127" s="5">
        <v>-0.50900000000000001</v>
      </c>
      <c r="C127" s="5">
        <f t="shared" si="1"/>
        <v>-5.0899999999999999E-3</v>
      </c>
    </row>
    <row r="128" spans="1:3" x14ac:dyDescent="0.25">
      <c r="A128" s="1">
        <v>42400</v>
      </c>
      <c r="B128" s="5">
        <v>-1.2569999999999999</v>
      </c>
      <c r="C128" s="5">
        <f t="shared" si="1"/>
        <v>-1.257E-2</v>
      </c>
    </row>
    <row r="129" spans="1:3" x14ac:dyDescent="0.25">
      <c r="A129" s="1">
        <v>42369</v>
      </c>
      <c r="B129" s="5">
        <v>-1.242</v>
      </c>
      <c r="C129" s="5">
        <f t="shared" si="1"/>
        <v>-1.242E-2</v>
      </c>
    </row>
    <row r="130" spans="1:3" x14ac:dyDescent="0.25">
      <c r="A130" s="1">
        <v>42338</v>
      </c>
      <c r="B130" s="5">
        <v>-0.57599999999999996</v>
      </c>
      <c r="C130" s="5">
        <f t="shared" si="1"/>
        <v>-5.7599999999999995E-3</v>
      </c>
    </row>
    <row r="131" spans="1:3" x14ac:dyDescent="0.25">
      <c r="A131" s="1">
        <v>42308</v>
      </c>
      <c r="B131" s="5">
        <v>-0.32800000000000001</v>
      </c>
      <c r="C131" s="5">
        <f t="shared" ref="C131:C194" si="2">B131/100</f>
        <v>-3.2799999999999999E-3</v>
      </c>
    </row>
    <row r="132" spans="1:3" x14ac:dyDescent="0.25">
      <c r="A132" s="1">
        <v>42277</v>
      </c>
      <c r="B132" s="5">
        <v>-1.0549999999999999</v>
      </c>
      <c r="C132" s="5">
        <f t="shared" si="2"/>
        <v>-1.0549999999999999E-2</v>
      </c>
    </row>
    <row r="133" spans="1:3" x14ac:dyDescent="0.25">
      <c r="A133" s="1">
        <v>42247</v>
      </c>
      <c r="B133" s="5">
        <v>-1.754</v>
      </c>
      <c r="C133" s="5">
        <f t="shared" si="2"/>
        <v>-1.754E-2</v>
      </c>
    </row>
    <row r="134" spans="1:3" x14ac:dyDescent="0.25">
      <c r="A134" s="1">
        <v>42216</v>
      </c>
      <c r="B134" s="5">
        <v>-0.94799999999999995</v>
      </c>
      <c r="C134" s="5">
        <f t="shared" si="2"/>
        <v>-9.4799999999999988E-3</v>
      </c>
    </row>
    <row r="135" spans="1:3" x14ac:dyDescent="0.25">
      <c r="A135" s="1">
        <v>42185</v>
      </c>
      <c r="B135" s="5">
        <v>7.9000000000000001E-2</v>
      </c>
      <c r="C135" s="5">
        <f t="shared" si="2"/>
        <v>7.9000000000000001E-4</v>
      </c>
    </row>
    <row r="136" spans="1:3" x14ac:dyDescent="0.25">
      <c r="A136" s="1">
        <v>42155</v>
      </c>
      <c r="B136" s="5">
        <v>1.119</v>
      </c>
      <c r="C136" s="5">
        <f t="shared" si="2"/>
        <v>1.119E-2</v>
      </c>
    </row>
    <row r="137" spans="1:3" x14ac:dyDescent="0.25">
      <c r="A137" s="1">
        <v>42124</v>
      </c>
      <c r="B137" s="5">
        <v>-0.16</v>
      </c>
      <c r="C137" s="5">
        <f t="shared" si="2"/>
        <v>-1.6000000000000001E-3</v>
      </c>
    </row>
    <row r="138" spans="1:3" x14ac:dyDescent="0.25">
      <c r="A138" s="1">
        <v>42094</v>
      </c>
      <c r="B138" s="5">
        <v>-0.159</v>
      </c>
      <c r="C138" s="5">
        <f t="shared" si="2"/>
        <v>-1.5900000000000001E-3</v>
      </c>
    </row>
    <row r="139" spans="1:3" x14ac:dyDescent="0.25">
      <c r="A139" s="1">
        <v>42063</v>
      </c>
      <c r="B139" s="5">
        <v>-0.39700000000000002</v>
      </c>
      <c r="C139" s="5">
        <f t="shared" si="2"/>
        <v>-3.9700000000000004E-3</v>
      </c>
    </row>
    <row r="140" spans="1:3" x14ac:dyDescent="0.25">
      <c r="A140" s="1">
        <v>42035</v>
      </c>
      <c r="B140" s="5">
        <v>-3.1509999999999998</v>
      </c>
      <c r="C140" s="5">
        <f t="shared" si="2"/>
        <v>-3.1509999999999996E-2</v>
      </c>
    </row>
    <row r="141" spans="1:3" x14ac:dyDescent="0.25">
      <c r="A141" s="1">
        <v>42004</v>
      </c>
      <c r="B141" s="5">
        <v>-2.5470000000000002</v>
      </c>
      <c r="C141" s="5">
        <f t="shared" si="2"/>
        <v>-2.5470000000000003E-2</v>
      </c>
    </row>
    <row r="142" spans="1:3" x14ac:dyDescent="0.25">
      <c r="A142" s="1">
        <v>41973</v>
      </c>
      <c r="B142" s="5">
        <v>-1.8380000000000001</v>
      </c>
      <c r="C142" s="5">
        <f t="shared" si="2"/>
        <v>-1.8380000000000001E-2</v>
      </c>
    </row>
    <row r="143" spans="1:3" x14ac:dyDescent="0.25">
      <c r="A143" s="1">
        <v>41943</v>
      </c>
      <c r="B143" s="5">
        <v>-1.3779999999999999</v>
      </c>
      <c r="C143" s="5">
        <f t="shared" si="2"/>
        <v>-1.3779999999999999E-2</v>
      </c>
    </row>
    <row r="144" spans="1:3" x14ac:dyDescent="0.25">
      <c r="A144" s="1">
        <v>41912</v>
      </c>
      <c r="B144" s="5">
        <v>-0.79100000000000004</v>
      </c>
      <c r="C144" s="5">
        <f t="shared" si="2"/>
        <v>-7.9100000000000004E-3</v>
      </c>
    </row>
    <row r="145" spans="1:3" x14ac:dyDescent="0.25">
      <c r="A145" s="1">
        <v>41882</v>
      </c>
      <c r="B145" s="5">
        <v>-0.78500000000000003</v>
      </c>
      <c r="C145" s="5">
        <f t="shared" si="2"/>
        <v>-7.8500000000000011E-3</v>
      </c>
    </row>
    <row r="146" spans="1:3" x14ac:dyDescent="0.25">
      <c r="A146" s="1">
        <v>41851</v>
      </c>
      <c r="B146" s="5">
        <v>-0.28499999999999998</v>
      </c>
      <c r="C146" s="5">
        <f t="shared" si="2"/>
        <v>-2.8499999999999997E-3</v>
      </c>
    </row>
    <row r="147" spans="1:3" x14ac:dyDescent="0.25">
      <c r="A147" s="1">
        <v>41820</v>
      </c>
      <c r="B147" s="5">
        <v>0.28599999999999998</v>
      </c>
      <c r="C147" s="5">
        <f t="shared" si="2"/>
        <v>2.8599999999999997E-3</v>
      </c>
    </row>
    <row r="148" spans="1:3" x14ac:dyDescent="0.25">
      <c r="A148" s="1">
        <v>41790</v>
      </c>
      <c r="B148" s="5">
        <v>0.28599999999999998</v>
      </c>
      <c r="C148" s="5">
        <f t="shared" si="2"/>
        <v>2.8599999999999997E-3</v>
      </c>
    </row>
    <row r="149" spans="1:3" x14ac:dyDescent="0.25">
      <c r="A149" s="1">
        <v>41759</v>
      </c>
      <c r="B149" s="5">
        <v>-0.56899999999999995</v>
      </c>
      <c r="C149" s="5">
        <f t="shared" si="2"/>
        <v>-5.6899999999999997E-3</v>
      </c>
    </row>
    <row r="150" spans="1:3" x14ac:dyDescent="0.25">
      <c r="A150" s="1">
        <v>41729</v>
      </c>
      <c r="B150" s="5">
        <v>0.501</v>
      </c>
      <c r="C150" s="5">
        <f t="shared" si="2"/>
        <v>5.0099999999999997E-3</v>
      </c>
    </row>
    <row r="151" spans="1:3" x14ac:dyDescent="0.25">
      <c r="A151" s="1">
        <v>41698</v>
      </c>
      <c r="B151" s="5">
        <v>1.085</v>
      </c>
      <c r="C151" s="5">
        <f t="shared" si="2"/>
        <v>1.085E-2</v>
      </c>
    </row>
    <row r="152" spans="1:3" x14ac:dyDescent="0.25">
      <c r="A152" s="1">
        <v>41670</v>
      </c>
      <c r="B152" s="5">
        <v>0.36299999999999999</v>
      </c>
      <c r="C152" s="5">
        <f t="shared" si="2"/>
        <v>3.63E-3</v>
      </c>
    </row>
    <row r="153" spans="1:3" x14ac:dyDescent="0.25">
      <c r="A153" s="1">
        <v>41639</v>
      </c>
      <c r="B153" s="5">
        <v>7.2999999999999995E-2</v>
      </c>
      <c r="C153" s="5">
        <f t="shared" si="2"/>
        <v>7.2999999999999996E-4</v>
      </c>
    </row>
    <row r="154" spans="1:3" x14ac:dyDescent="0.25">
      <c r="A154" s="1">
        <v>41608</v>
      </c>
      <c r="B154" s="5">
        <v>-0.86399999999999999</v>
      </c>
      <c r="C154" s="5">
        <f t="shared" si="2"/>
        <v>-8.6400000000000001E-3</v>
      </c>
    </row>
    <row r="155" spans="1:3" x14ac:dyDescent="0.25">
      <c r="A155" s="1">
        <v>41578</v>
      </c>
      <c r="B155" s="5">
        <v>-0.64400000000000002</v>
      </c>
      <c r="C155" s="5">
        <f t="shared" si="2"/>
        <v>-6.4400000000000004E-3</v>
      </c>
    </row>
    <row r="156" spans="1:3" x14ac:dyDescent="0.25">
      <c r="A156" s="1">
        <v>41547</v>
      </c>
      <c r="B156" s="5">
        <v>0.28699999999999998</v>
      </c>
      <c r="C156" s="5">
        <f t="shared" si="2"/>
        <v>2.8699999999999997E-3</v>
      </c>
    </row>
    <row r="157" spans="1:3" x14ac:dyDescent="0.25">
      <c r="A157" s="1">
        <v>41517</v>
      </c>
      <c r="B157" s="5">
        <v>0.36</v>
      </c>
      <c r="C157" s="5">
        <f t="shared" si="2"/>
        <v>3.5999999999999999E-3</v>
      </c>
    </row>
    <row r="158" spans="1:3" x14ac:dyDescent="0.25">
      <c r="A158" s="1">
        <v>41486</v>
      </c>
      <c r="B158" s="5">
        <v>7.1999999999999995E-2</v>
      </c>
      <c r="C158" s="5">
        <f t="shared" si="2"/>
        <v>7.1999999999999994E-4</v>
      </c>
    </row>
    <row r="159" spans="1:3" x14ac:dyDescent="0.25">
      <c r="A159" s="1">
        <v>41455</v>
      </c>
      <c r="B159" s="5">
        <v>-0.43</v>
      </c>
      <c r="C159" s="5">
        <f t="shared" si="2"/>
        <v>-4.3E-3</v>
      </c>
    </row>
    <row r="160" spans="1:3" x14ac:dyDescent="0.25">
      <c r="A160" s="1">
        <v>41425</v>
      </c>
      <c r="B160" s="5">
        <v>-0.57099999999999995</v>
      </c>
      <c r="C160" s="5">
        <f t="shared" si="2"/>
        <v>-5.7099999999999998E-3</v>
      </c>
    </row>
    <row r="161" spans="1:3" x14ac:dyDescent="0.25">
      <c r="A161" s="1">
        <v>41394</v>
      </c>
      <c r="B161" s="5">
        <v>-0.70799999999999996</v>
      </c>
      <c r="C161" s="5">
        <f t="shared" si="2"/>
        <v>-7.0799999999999995E-3</v>
      </c>
    </row>
    <row r="162" spans="1:3" x14ac:dyDescent="0.25">
      <c r="A162" s="1">
        <v>41364</v>
      </c>
      <c r="B162" s="5">
        <v>-7.0999999999999994E-2</v>
      </c>
      <c r="C162" s="5">
        <f t="shared" si="2"/>
        <v>-7.0999999999999991E-4</v>
      </c>
    </row>
    <row r="163" spans="1:3" x14ac:dyDescent="0.25">
      <c r="A163" s="1">
        <v>41333</v>
      </c>
      <c r="B163" s="5">
        <v>0.85699999999999998</v>
      </c>
      <c r="C163" s="5">
        <f t="shared" si="2"/>
        <v>8.5699999999999995E-3</v>
      </c>
    </row>
    <row r="164" spans="1:3" x14ac:dyDescent="0.25">
      <c r="A164" s="1">
        <v>41305</v>
      </c>
      <c r="B164" s="5">
        <v>0.502</v>
      </c>
      <c r="C164" s="5">
        <f t="shared" si="2"/>
        <v>5.0200000000000002E-3</v>
      </c>
    </row>
    <row r="165" spans="1:3" x14ac:dyDescent="0.25">
      <c r="A165" s="1">
        <v>41274</v>
      </c>
      <c r="B165" s="5">
        <v>-0.57099999999999995</v>
      </c>
      <c r="C165" s="5">
        <f t="shared" si="2"/>
        <v>-5.7099999999999998E-3</v>
      </c>
    </row>
    <row r="166" spans="1:3" x14ac:dyDescent="0.25">
      <c r="A166" s="1">
        <v>41243</v>
      </c>
      <c r="B166" s="5">
        <v>-0.70799999999999996</v>
      </c>
      <c r="C166" s="5">
        <f t="shared" si="2"/>
        <v>-7.0799999999999995E-3</v>
      </c>
    </row>
    <row r="167" spans="1:3" x14ac:dyDescent="0.25">
      <c r="A167" s="1">
        <v>41213</v>
      </c>
      <c r="B167" s="5">
        <v>0.28399999999999997</v>
      </c>
      <c r="C167" s="5">
        <f t="shared" si="2"/>
        <v>2.8399999999999996E-3</v>
      </c>
    </row>
    <row r="168" spans="1:3" x14ac:dyDescent="0.25">
      <c r="A168" s="1">
        <v>41182</v>
      </c>
      <c r="B168" s="5">
        <v>1.004</v>
      </c>
      <c r="C168" s="5">
        <f t="shared" si="2"/>
        <v>1.004E-2</v>
      </c>
    </row>
    <row r="169" spans="1:3" x14ac:dyDescent="0.25">
      <c r="A169" s="1">
        <v>41152</v>
      </c>
      <c r="B169" s="5">
        <v>1.2350000000000001</v>
      </c>
      <c r="C169" s="5">
        <f t="shared" si="2"/>
        <v>1.2350000000000002E-2</v>
      </c>
    </row>
    <row r="170" spans="1:3" x14ac:dyDescent="0.25">
      <c r="A170" s="1">
        <v>41121</v>
      </c>
      <c r="B170" s="5">
        <v>-0.72099999999999997</v>
      </c>
      <c r="C170" s="5">
        <f t="shared" si="2"/>
        <v>-7.2099999999999994E-3</v>
      </c>
    </row>
    <row r="171" spans="1:3" x14ac:dyDescent="0.25">
      <c r="A171" s="1">
        <v>41090</v>
      </c>
      <c r="B171" s="5">
        <v>-2.3239999999999998</v>
      </c>
      <c r="C171" s="5">
        <f t="shared" si="2"/>
        <v>-2.3239999999999997E-2</v>
      </c>
    </row>
    <row r="172" spans="1:3" x14ac:dyDescent="0.25">
      <c r="A172" s="1">
        <v>41060</v>
      </c>
      <c r="B172" s="5">
        <v>-1.4570000000000001</v>
      </c>
      <c r="C172" s="5">
        <f t="shared" si="2"/>
        <v>-1.4570000000000001E-2</v>
      </c>
    </row>
    <row r="173" spans="1:3" x14ac:dyDescent="0.25">
      <c r="A173" s="1">
        <v>41029</v>
      </c>
      <c r="B173" s="5">
        <v>-6.9000000000000006E-2</v>
      </c>
      <c r="C173" s="5">
        <f t="shared" si="2"/>
        <v>-6.9000000000000008E-4</v>
      </c>
    </row>
    <row r="174" spans="1:3" x14ac:dyDescent="0.25">
      <c r="A174" s="1">
        <v>40999</v>
      </c>
      <c r="B174" s="5">
        <v>1.4059999999999999</v>
      </c>
      <c r="C174" s="5">
        <f t="shared" si="2"/>
        <v>1.406E-2</v>
      </c>
    </row>
    <row r="175" spans="1:3" x14ac:dyDescent="0.25">
      <c r="A175" s="1">
        <v>40968</v>
      </c>
      <c r="B175" s="5">
        <v>0</v>
      </c>
      <c r="C175" s="5">
        <f t="shared" si="2"/>
        <v>0</v>
      </c>
    </row>
    <row r="176" spans="1:3" x14ac:dyDescent="0.25">
      <c r="A176" s="1">
        <v>40939</v>
      </c>
      <c r="B176" s="5">
        <v>0</v>
      </c>
      <c r="C176" s="5">
        <f t="shared" si="2"/>
        <v>0</v>
      </c>
    </row>
    <row r="177" spans="1:3" x14ac:dyDescent="0.25">
      <c r="A177" s="1">
        <v>40908</v>
      </c>
      <c r="B177" s="5">
        <v>0</v>
      </c>
      <c r="C177" s="5">
        <f t="shared" si="2"/>
        <v>0</v>
      </c>
    </row>
    <row r="178" spans="1:3" x14ac:dyDescent="0.25">
      <c r="A178" s="1">
        <v>40877</v>
      </c>
      <c r="B178" s="5">
        <v>0.70799999999999996</v>
      </c>
      <c r="C178" s="5">
        <f t="shared" si="2"/>
        <v>7.0799999999999995E-3</v>
      </c>
    </row>
    <row r="179" spans="1:3" x14ac:dyDescent="0.25">
      <c r="A179" s="1">
        <v>40847</v>
      </c>
      <c r="B179" s="5">
        <v>-0.35299999999999998</v>
      </c>
      <c r="C179" s="5">
        <f t="shared" si="2"/>
        <v>-3.5299999999999997E-3</v>
      </c>
    </row>
    <row r="180" spans="1:3" x14ac:dyDescent="0.25">
      <c r="A180" s="1">
        <v>40816</v>
      </c>
      <c r="B180" s="5">
        <v>-0.14099999999999999</v>
      </c>
      <c r="C180" s="5">
        <f t="shared" si="2"/>
        <v>-1.4099999999999998E-3</v>
      </c>
    </row>
    <row r="181" spans="1:3" x14ac:dyDescent="0.25">
      <c r="A181" s="1">
        <v>40786</v>
      </c>
      <c r="B181" s="5">
        <v>-0.35099999999999998</v>
      </c>
      <c r="C181" s="5">
        <f t="shared" si="2"/>
        <v>-3.5099999999999997E-3</v>
      </c>
    </row>
    <row r="182" spans="1:3" x14ac:dyDescent="0.25">
      <c r="A182" s="1">
        <v>40755</v>
      </c>
      <c r="B182" s="5">
        <v>0.14099999999999999</v>
      </c>
      <c r="C182" s="5">
        <f t="shared" si="2"/>
        <v>1.4099999999999998E-3</v>
      </c>
    </row>
    <row r="183" spans="1:3" x14ac:dyDescent="0.25">
      <c r="A183" s="1">
        <v>40724</v>
      </c>
      <c r="B183" s="5">
        <v>-0.629</v>
      </c>
      <c r="C183" s="5">
        <f t="shared" si="2"/>
        <v>-6.2900000000000005E-3</v>
      </c>
    </row>
    <row r="184" spans="1:3" x14ac:dyDescent="0.25">
      <c r="A184" s="1">
        <v>40694</v>
      </c>
      <c r="B184" s="5">
        <v>0.14000000000000001</v>
      </c>
      <c r="C184" s="5">
        <f t="shared" si="2"/>
        <v>1.4000000000000002E-3</v>
      </c>
    </row>
    <row r="185" spans="1:3" x14ac:dyDescent="0.25">
      <c r="A185" s="1">
        <v>40663</v>
      </c>
      <c r="B185" s="5">
        <v>2.5840000000000001</v>
      </c>
      <c r="C185" s="5">
        <f t="shared" si="2"/>
        <v>2.5840000000000002E-2</v>
      </c>
    </row>
    <row r="186" spans="1:3" x14ac:dyDescent="0.25">
      <c r="A186" s="1">
        <v>40633</v>
      </c>
      <c r="B186" s="5">
        <v>2.956</v>
      </c>
      <c r="C186" s="5">
        <f t="shared" si="2"/>
        <v>2.9559999999999999E-2</v>
      </c>
    </row>
    <row r="187" spans="1:3" x14ac:dyDescent="0.25">
      <c r="A187" s="1">
        <v>40602</v>
      </c>
      <c r="B187" s="5">
        <v>1.7290000000000001</v>
      </c>
      <c r="C187" s="5">
        <f t="shared" si="2"/>
        <v>1.729E-2</v>
      </c>
    </row>
    <row r="188" spans="1:3" x14ac:dyDescent="0.25">
      <c r="A188" s="1">
        <v>40574</v>
      </c>
      <c r="B188" s="5">
        <v>1.5269999999999999</v>
      </c>
      <c r="C188" s="5">
        <f t="shared" si="2"/>
        <v>1.5269999999999999E-2</v>
      </c>
    </row>
    <row r="189" spans="1:3" x14ac:dyDescent="0.25">
      <c r="A189" s="1">
        <v>40543</v>
      </c>
      <c r="B189" s="5">
        <v>1.393</v>
      </c>
      <c r="C189" s="5">
        <f t="shared" si="2"/>
        <v>1.393E-2</v>
      </c>
    </row>
    <row r="190" spans="1:3" x14ac:dyDescent="0.25">
      <c r="A190" s="1">
        <v>40512</v>
      </c>
      <c r="B190" s="5">
        <v>1.6519999999999999</v>
      </c>
      <c r="C190" s="5">
        <f t="shared" si="2"/>
        <v>1.652E-2</v>
      </c>
    </row>
    <row r="191" spans="1:3" x14ac:dyDescent="0.25">
      <c r="A191" s="1">
        <v>40482</v>
      </c>
      <c r="B191" s="5">
        <v>1.1140000000000001</v>
      </c>
      <c r="C191" s="5">
        <f t="shared" si="2"/>
        <v>1.1140000000000001E-2</v>
      </c>
    </row>
    <row r="192" spans="1:3" x14ac:dyDescent="0.25">
      <c r="A192" s="1">
        <v>40451</v>
      </c>
      <c r="B192" s="5">
        <v>0</v>
      </c>
      <c r="C192" s="5">
        <f t="shared" si="2"/>
        <v>0</v>
      </c>
    </row>
    <row r="193" spans="1:3" x14ac:dyDescent="0.25">
      <c r="A193" s="1">
        <v>40421</v>
      </c>
      <c r="B193" s="5">
        <v>0.39900000000000002</v>
      </c>
      <c r="C193" s="5">
        <f t="shared" si="2"/>
        <v>3.9900000000000005E-3</v>
      </c>
    </row>
    <row r="194" spans="1:3" x14ac:dyDescent="0.25">
      <c r="A194" s="1">
        <v>40390</v>
      </c>
      <c r="B194" s="5">
        <v>0</v>
      </c>
      <c r="C194" s="5">
        <f t="shared" si="2"/>
        <v>0</v>
      </c>
    </row>
    <row r="195" spans="1:3" x14ac:dyDescent="0.25">
      <c r="A195" s="1">
        <v>40359</v>
      </c>
      <c r="B195" s="5">
        <v>-1.1839999999999999</v>
      </c>
      <c r="C195" s="5">
        <f t="shared" ref="C195:C258" si="3">B195/100</f>
        <v>-1.184E-2</v>
      </c>
    </row>
    <row r="196" spans="1:3" x14ac:dyDescent="0.25">
      <c r="A196" s="1">
        <v>40329</v>
      </c>
      <c r="B196" s="5">
        <v>-0.78300000000000003</v>
      </c>
      <c r="C196" s="5">
        <f t="shared" si="3"/>
        <v>-7.8300000000000002E-3</v>
      </c>
    </row>
    <row r="197" spans="1:3" x14ac:dyDescent="0.25">
      <c r="A197" s="1">
        <v>40298</v>
      </c>
      <c r="B197" s="5">
        <v>1.1080000000000001</v>
      </c>
      <c r="C197" s="5">
        <f t="shared" si="3"/>
        <v>1.1080000000000001E-2</v>
      </c>
    </row>
    <row r="198" spans="1:3" x14ac:dyDescent="0.25">
      <c r="A198" s="1">
        <v>40268</v>
      </c>
      <c r="B198" s="5">
        <v>0.39700000000000002</v>
      </c>
      <c r="C198" s="5">
        <f t="shared" si="3"/>
        <v>3.9700000000000004E-3</v>
      </c>
    </row>
    <row r="199" spans="1:3" x14ac:dyDescent="0.25">
      <c r="A199" s="1">
        <v>40237</v>
      </c>
      <c r="B199" s="5">
        <v>-7.9000000000000001E-2</v>
      </c>
      <c r="C199" s="5">
        <f t="shared" si="3"/>
        <v>-7.9000000000000001E-4</v>
      </c>
    </row>
    <row r="200" spans="1:3" x14ac:dyDescent="0.25">
      <c r="A200" s="1">
        <v>40209</v>
      </c>
      <c r="B200" s="5">
        <v>1.206</v>
      </c>
      <c r="C200" s="5">
        <f t="shared" si="3"/>
        <v>1.206E-2</v>
      </c>
    </row>
    <row r="201" spans="1:3" x14ac:dyDescent="0.25">
      <c r="A201" s="1">
        <v>40178</v>
      </c>
      <c r="B201" s="5">
        <v>0.24199999999999999</v>
      </c>
      <c r="C201" s="5">
        <f t="shared" si="3"/>
        <v>2.4199999999999998E-3</v>
      </c>
    </row>
    <row r="202" spans="1:3" x14ac:dyDescent="0.25">
      <c r="A202" s="1">
        <v>40147</v>
      </c>
      <c r="B202" s="5">
        <v>1.472</v>
      </c>
      <c r="C202" s="5">
        <f t="shared" si="3"/>
        <v>1.472E-2</v>
      </c>
    </row>
    <row r="203" spans="1:3" x14ac:dyDescent="0.25">
      <c r="A203" s="1">
        <v>40117</v>
      </c>
      <c r="B203" s="5">
        <v>0.82399999999999995</v>
      </c>
      <c r="C203" s="5">
        <f t="shared" si="3"/>
        <v>8.2399999999999991E-3</v>
      </c>
    </row>
    <row r="204" spans="1:3" x14ac:dyDescent="0.25">
      <c r="A204" s="1">
        <v>40086</v>
      </c>
      <c r="B204" s="5">
        <v>0.16500000000000001</v>
      </c>
      <c r="C204" s="5">
        <f t="shared" si="3"/>
        <v>1.65E-3</v>
      </c>
    </row>
    <row r="205" spans="1:3" x14ac:dyDescent="0.25">
      <c r="A205" s="1">
        <v>40056</v>
      </c>
      <c r="B205" s="5">
        <v>1.5089999999999999</v>
      </c>
      <c r="C205" s="5">
        <f t="shared" si="3"/>
        <v>1.5089999999999999E-2</v>
      </c>
    </row>
    <row r="206" spans="1:3" x14ac:dyDescent="0.25">
      <c r="A206" s="1">
        <v>40025</v>
      </c>
      <c r="B206" s="5">
        <v>-0.58299999999999996</v>
      </c>
      <c r="C206" s="5">
        <f t="shared" si="3"/>
        <v>-5.8299999999999992E-3</v>
      </c>
    </row>
    <row r="207" spans="1:3" x14ac:dyDescent="0.25">
      <c r="A207" s="1">
        <v>39994</v>
      </c>
      <c r="B207" s="5">
        <v>2.74</v>
      </c>
      <c r="C207" s="5">
        <f t="shared" si="3"/>
        <v>2.7400000000000001E-2</v>
      </c>
    </row>
    <row r="208" spans="1:3" x14ac:dyDescent="0.25">
      <c r="A208" s="1">
        <v>39964</v>
      </c>
      <c r="B208" s="5">
        <v>1.742</v>
      </c>
      <c r="C208" s="5">
        <f t="shared" si="3"/>
        <v>1.7420000000000001E-2</v>
      </c>
    </row>
    <row r="209" spans="1:3" x14ac:dyDescent="0.25">
      <c r="A209" s="1">
        <v>39933</v>
      </c>
      <c r="B209" s="5">
        <v>1.056</v>
      </c>
      <c r="C209" s="5">
        <f t="shared" si="3"/>
        <v>1.056E-2</v>
      </c>
    </row>
    <row r="210" spans="1:3" x14ac:dyDescent="0.25">
      <c r="A210" s="1">
        <v>39903</v>
      </c>
      <c r="B210" s="5">
        <v>0.53100000000000003</v>
      </c>
      <c r="C210" s="5">
        <f t="shared" si="3"/>
        <v>5.3100000000000005E-3</v>
      </c>
    </row>
    <row r="211" spans="1:3" x14ac:dyDescent="0.25">
      <c r="A211" s="1">
        <v>39872</v>
      </c>
      <c r="B211" s="5">
        <v>0</v>
      </c>
      <c r="C211" s="5">
        <f t="shared" si="3"/>
        <v>0</v>
      </c>
    </row>
    <row r="212" spans="1:3" x14ac:dyDescent="0.25">
      <c r="A212" s="1">
        <v>39844</v>
      </c>
      <c r="B212" s="5">
        <v>-1.31</v>
      </c>
      <c r="C212" s="5">
        <f t="shared" si="3"/>
        <v>-1.3100000000000001E-2</v>
      </c>
    </row>
    <row r="213" spans="1:3" x14ac:dyDescent="0.25">
      <c r="A213" s="1">
        <v>39813</v>
      </c>
      <c r="B213" s="5">
        <v>-4.5830000000000002</v>
      </c>
      <c r="C213" s="5">
        <f t="shared" si="3"/>
        <v>-4.5830000000000003E-2</v>
      </c>
    </row>
    <row r="214" spans="1:3" x14ac:dyDescent="0.25">
      <c r="A214" s="1">
        <v>39782</v>
      </c>
      <c r="B214" s="5">
        <v>-7.407</v>
      </c>
      <c r="C214" s="5">
        <f t="shared" si="3"/>
        <v>-7.4069999999999997E-2</v>
      </c>
    </row>
    <row r="215" spans="1:3" x14ac:dyDescent="0.25">
      <c r="A215" s="1">
        <v>39752</v>
      </c>
      <c r="B215" s="5">
        <v>-5.9509999999999996</v>
      </c>
      <c r="C215" s="5">
        <f t="shared" si="3"/>
        <v>-5.9509999999999993E-2</v>
      </c>
    </row>
    <row r="216" spans="1:3" x14ac:dyDescent="0.25">
      <c r="A216" s="1">
        <v>39721</v>
      </c>
      <c r="B216" s="5">
        <v>-3.6360000000000001</v>
      </c>
      <c r="C216" s="5">
        <f t="shared" si="3"/>
        <v>-3.6360000000000003E-2</v>
      </c>
    </row>
    <row r="217" spans="1:3" x14ac:dyDescent="0.25">
      <c r="A217" s="1">
        <v>39691</v>
      </c>
      <c r="B217" s="5">
        <v>-3.0510000000000002</v>
      </c>
      <c r="C217" s="5">
        <f t="shared" si="3"/>
        <v>-3.0510000000000002E-2</v>
      </c>
    </row>
    <row r="218" spans="1:3" x14ac:dyDescent="0.25">
      <c r="A218" s="1">
        <v>39660</v>
      </c>
      <c r="B218" s="5">
        <v>1.375</v>
      </c>
      <c r="C218" s="5">
        <f t="shared" si="3"/>
        <v>1.375E-2</v>
      </c>
    </row>
    <row r="219" spans="1:3" x14ac:dyDescent="0.25">
      <c r="A219" s="1">
        <v>39629</v>
      </c>
      <c r="B219" s="5">
        <v>3.0449999999999999</v>
      </c>
      <c r="C219" s="5">
        <f t="shared" si="3"/>
        <v>3.0449999999999998E-2</v>
      </c>
    </row>
    <row r="220" spans="1:3" x14ac:dyDescent="0.25">
      <c r="A220" s="1">
        <v>39599</v>
      </c>
      <c r="B220" s="5">
        <v>2.84</v>
      </c>
      <c r="C220" s="5">
        <f t="shared" si="3"/>
        <v>2.8399999999999998E-2</v>
      </c>
    </row>
    <row r="221" spans="1:3" x14ac:dyDescent="0.25">
      <c r="A221" s="1">
        <v>39568</v>
      </c>
      <c r="B221" s="5">
        <v>2.8460000000000001</v>
      </c>
      <c r="C221" s="5">
        <f t="shared" si="3"/>
        <v>2.8459999999999999E-2</v>
      </c>
    </row>
    <row r="222" spans="1:3" x14ac:dyDescent="0.25">
      <c r="A222" s="1">
        <v>39538</v>
      </c>
      <c r="B222" s="5">
        <v>3.089</v>
      </c>
      <c r="C222" s="5">
        <f t="shared" si="3"/>
        <v>3.0890000000000001E-2</v>
      </c>
    </row>
    <row r="223" spans="1:3" x14ac:dyDescent="0.25">
      <c r="A223" s="1">
        <v>39507</v>
      </c>
      <c r="B223" s="5">
        <v>0.23200000000000001</v>
      </c>
      <c r="C223" s="5">
        <f t="shared" si="3"/>
        <v>2.32E-3</v>
      </c>
    </row>
    <row r="224" spans="1:3" x14ac:dyDescent="0.25">
      <c r="A224" s="1">
        <v>39478</v>
      </c>
      <c r="B224" s="5">
        <v>1.4930000000000001</v>
      </c>
      <c r="C224" s="5">
        <f t="shared" si="3"/>
        <v>1.4930000000000001E-2</v>
      </c>
    </row>
    <row r="225" spans="1:3" x14ac:dyDescent="0.25">
      <c r="A225" s="1">
        <v>39447</v>
      </c>
      <c r="B225" s="5">
        <v>-0.157</v>
      </c>
      <c r="C225" s="5">
        <f t="shared" si="3"/>
        <v>-1.57E-3</v>
      </c>
    </row>
    <row r="226" spans="1:3" x14ac:dyDescent="0.25">
      <c r="A226" s="1">
        <v>39416</v>
      </c>
      <c r="B226" s="5">
        <v>3.1549999999999998</v>
      </c>
      <c r="C226" s="5">
        <f t="shared" si="3"/>
        <v>3.1549999999999995E-2</v>
      </c>
    </row>
    <row r="227" spans="1:3" x14ac:dyDescent="0.25">
      <c r="A227" s="1">
        <v>39386</v>
      </c>
      <c r="B227" s="5">
        <v>1.478</v>
      </c>
      <c r="C227" s="5">
        <f t="shared" si="3"/>
        <v>1.478E-2</v>
      </c>
    </row>
    <row r="228" spans="1:3" x14ac:dyDescent="0.25">
      <c r="A228" s="1">
        <v>39355</v>
      </c>
      <c r="B228" s="5">
        <v>0.57799999999999996</v>
      </c>
      <c r="C228" s="5">
        <f t="shared" si="3"/>
        <v>5.7799999999999995E-3</v>
      </c>
    </row>
    <row r="229" spans="1:3" x14ac:dyDescent="0.25">
      <c r="A229" s="1">
        <v>39325</v>
      </c>
      <c r="B229" s="5">
        <v>-0.32900000000000001</v>
      </c>
      <c r="C229" s="5">
        <f t="shared" si="3"/>
        <v>-3.29E-3</v>
      </c>
    </row>
    <row r="230" spans="1:3" x14ac:dyDescent="0.25">
      <c r="A230" s="1">
        <v>39294</v>
      </c>
      <c r="B230" s="5">
        <v>1.25</v>
      </c>
      <c r="C230" s="5">
        <f t="shared" si="3"/>
        <v>1.2500000000000001E-2</v>
      </c>
    </row>
    <row r="231" spans="1:3" x14ac:dyDescent="0.25">
      <c r="A231" s="1">
        <v>39263</v>
      </c>
      <c r="B231" s="5">
        <v>1.18</v>
      </c>
      <c r="C231" s="5">
        <f t="shared" si="3"/>
        <v>1.18E-2</v>
      </c>
    </row>
    <row r="232" spans="1:3" x14ac:dyDescent="0.25">
      <c r="A232" s="1">
        <v>39233</v>
      </c>
      <c r="B232" s="5">
        <v>0.93600000000000005</v>
      </c>
      <c r="C232" s="5">
        <f t="shared" si="3"/>
        <v>9.3600000000000003E-3</v>
      </c>
    </row>
    <row r="233" spans="1:3" x14ac:dyDescent="0.25">
      <c r="A233" s="1">
        <v>39202</v>
      </c>
      <c r="B233" s="5">
        <v>1.38</v>
      </c>
      <c r="C233" s="5">
        <f t="shared" si="3"/>
        <v>1.38E-2</v>
      </c>
    </row>
    <row r="234" spans="1:3" x14ac:dyDescent="0.25">
      <c r="A234" s="1">
        <v>39172</v>
      </c>
      <c r="B234" s="5">
        <v>1.5780000000000001</v>
      </c>
      <c r="C234" s="5">
        <f t="shared" si="3"/>
        <v>1.5780000000000002E-2</v>
      </c>
    </row>
    <row r="235" spans="1:3" x14ac:dyDescent="0.25">
      <c r="A235" s="1">
        <v>39141</v>
      </c>
      <c r="B235" s="5">
        <v>0.35199999999999998</v>
      </c>
      <c r="C235" s="5">
        <f t="shared" si="3"/>
        <v>3.5199999999999997E-3</v>
      </c>
    </row>
    <row r="236" spans="1:3" x14ac:dyDescent="0.25">
      <c r="A236" s="1">
        <v>39113</v>
      </c>
      <c r="B236" s="5">
        <v>-1.216</v>
      </c>
      <c r="C236" s="5">
        <f t="shared" si="3"/>
        <v>-1.2159999999999999E-2</v>
      </c>
    </row>
    <row r="237" spans="1:3" x14ac:dyDescent="0.25">
      <c r="A237" s="1">
        <v>39082</v>
      </c>
      <c r="B237" s="5">
        <v>1.1419999999999999</v>
      </c>
      <c r="C237" s="5">
        <f t="shared" si="3"/>
        <v>1.142E-2</v>
      </c>
    </row>
    <row r="238" spans="1:3" x14ac:dyDescent="0.25">
      <c r="A238" s="1">
        <v>39051</v>
      </c>
      <c r="B238" s="5">
        <v>0.441</v>
      </c>
      <c r="C238" s="5">
        <f t="shared" si="3"/>
        <v>4.4099999999999999E-3</v>
      </c>
    </row>
    <row r="239" spans="1:3" x14ac:dyDescent="0.25">
      <c r="A239" s="1">
        <v>39021</v>
      </c>
      <c r="B239" s="5">
        <v>-2.496</v>
      </c>
      <c r="C239" s="5">
        <f t="shared" si="3"/>
        <v>-2.496E-2</v>
      </c>
    </row>
    <row r="240" spans="1:3" x14ac:dyDescent="0.25">
      <c r="A240" s="1">
        <v>38990</v>
      </c>
      <c r="B240" s="5">
        <v>-2.1890000000000001</v>
      </c>
      <c r="C240" s="5">
        <f t="shared" si="3"/>
        <v>-2.189E-2</v>
      </c>
    </row>
    <row r="241" spans="1:3" x14ac:dyDescent="0.25">
      <c r="A241" s="1">
        <v>38960</v>
      </c>
      <c r="B241" s="5">
        <v>0.50800000000000001</v>
      </c>
      <c r="C241" s="5">
        <f t="shared" si="3"/>
        <v>5.0800000000000003E-3</v>
      </c>
    </row>
    <row r="242" spans="1:3" x14ac:dyDescent="0.25">
      <c r="A242" s="1">
        <v>38929</v>
      </c>
      <c r="B242" s="5">
        <v>0.76700000000000002</v>
      </c>
      <c r="C242" s="5">
        <f t="shared" si="3"/>
        <v>7.6699999999999997E-3</v>
      </c>
    </row>
    <row r="243" spans="1:3" x14ac:dyDescent="0.25">
      <c r="A243" s="1">
        <v>38898</v>
      </c>
      <c r="B243" s="5">
        <v>8.5000000000000006E-2</v>
      </c>
      <c r="C243" s="5">
        <f t="shared" si="3"/>
        <v>8.5000000000000006E-4</v>
      </c>
    </row>
    <row r="244" spans="1:3" x14ac:dyDescent="0.25">
      <c r="A244" s="1">
        <v>38868</v>
      </c>
      <c r="B244" s="5">
        <v>1.8240000000000001</v>
      </c>
      <c r="C244" s="5">
        <f t="shared" si="3"/>
        <v>1.8239999999999999E-2</v>
      </c>
    </row>
    <row r="245" spans="1:3" x14ac:dyDescent="0.25">
      <c r="A245" s="1">
        <v>38837</v>
      </c>
      <c r="B245" s="5">
        <v>2.13</v>
      </c>
      <c r="C245" s="5">
        <f t="shared" si="3"/>
        <v>2.1299999999999999E-2</v>
      </c>
    </row>
    <row r="246" spans="1:3" x14ac:dyDescent="0.25">
      <c r="A246" s="1">
        <v>38807</v>
      </c>
      <c r="B246" s="5">
        <v>-8.8999999999999996E-2</v>
      </c>
      <c r="C246" s="5">
        <f t="shared" si="3"/>
        <v>-8.8999999999999995E-4</v>
      </c>
    </row>
    <row r="247" spans="1:3" x14ac:dyDescent="0.25">
      <c r="A247" s="1">
        <v>38776</v>
      </c>
      <c r="B247" s="5">
        <v>-0.79200000000000004</v>
      </c>
      <c r="C247" s="5">
        <f t="shared" si="3"/>
        <v>-7.92E-3</v>
      </c>
    </row>
    <row r="248" spans="1:3" x14ac:dyDescent="0.25">
      <c r="A248" s="1">
        <v>38748</v>
      </c>
      <c r="B248" s="5">
        <v>1.2470000000000001</v>
      </c>
      <c r="C248" s="5">
        <f t="shared" si="3"/>
        <v>1.2470000000000002E-2</v>
      </c>
    </row>
    <row r="249" spans="1:3" x14ac:dyDescent="0.25">
      <c r="A249" s="1">
        <v>38717</v>
      </c>
      <c r="B249" s="5">
        <v>0</v>
      </c>
      <c r="C249" s="5">
        <f t="shared" si="3"/>
        <v>0</v>
      </c>
    </row>
    <row r="250" spans="1:3" x14ac:dyDescent="0.25">
      <c r="A250" s="1">
        <v>38686</v>
      </c>
      <c r="B250" s="5">
        <v>-1.921</v>
      </c>
      <c r="C250" s="5">
        <f t="shared" si="3"/>
        <v>-1.9210000000000001E-2</v>
      </c>
    </row>
    <row r="251" spans="1:3" x14ac:dyDescent="0.25">
      <c r="A251" s="1">
        <v>38656</v>
      </c>
      <c r="B251" s="5">
        <v>8.6999999999999994E-2</v>
      </c>
      <c r="C251" s="5">
        <f t="shared" si="3"/>
        <v>8.699999999999999E-4</v>
      </c>
    </row>
    <row r="252" spans="1:3" x14ac:dyDescent="0.25">
      <c r="A252" s="1">
        <v>38625</v>
      </c>
      <c r="B252" s="5">
        <v>2.052</v>
      </c>
      <c r="C252" s="5">
        <f t="shared" si="3"/>
        <v>2.052E-2</v>
      </c>
    </row>
    <row r="253" spans="1:3" x14ac:dyDescent="0.25">
      <c r="A253" s="1">
        <v>38595</v>
      </c>
      <c r="B253" s="5">
        <v>1.448</v>
      </c>
      <c r="C253" s="5">
        <f t="shared" si="3"/>
        <v>1.448E-2</v>
      </c>
    </row>
    <row r="254" spans="1:3" x14ac:dyDescent="0.25">
      <c r="A254" s="1">
        <v>38564</v>
      </c>
      <c r="B254" s="5">
        <v>1.19</v>
      </c>
      <c r="C254" s="5">
        <f t="shared" si="3"/>
        <v>1.1899999999999999E-2</v>
      </c>
    </row>
    <row r="255" spans="1:3" x14ac:dyDescent="0.25">
      <c r="A255" s="1">
        <v>38533</v>
      </c>
      <c r="B255" s="5">
        <v>1.2050000000000001</v>
      </c>
      <c r="C255" s="5">
        <f t="shared" si="3"/>
        <v>1.205E-2</v>
      </c>
    </row>
    <row r="256" spans="1:3" x14ac:dyDescent="0.25">
      <c r="A256" s="1">
        <v>38503</v>
      </c>
      <c r="B256" s="5">
        <v>-0.82699999999999996</v>
      </c>
      <c r="C256" s="5">
        <f t="shared" si="3"/>
        <v>-8.2699999999999996E-3</v>
      </c>
    </row>
    <row r="257" spans="1:3" x14ac:dyDescent="0.25">
      <c r="A257" s="1">
        <v>38472</v>
      </c>
      <c r="B257" s="5">
        <v>0.92800000000000005</v>
      </c>
      <c r="C257" s="5">
        <f t="shared" si="3"/>
        <v>9.2800000000000001E-3</v>
      </c>
    </row>
    <row r="258" spans="1:3" x14ac:dyDescent="0.25">
      <c r="A258" s="1">
        <v>38442</v>
      </c>
      <c r="B258" s="5">
        <v>2.1800000000000002</v>
      </c>
      <c r="C258" s="5">
        <f t="shared" si="3"/>
        <v>2.18E-2</v>
      </c>
    </row>
    <row r="259" spans="1:3" x14ac:dyDescent="0.25">
      <c r="A259" s="1">
        <v>38411</v>
      </c>
      <c r="B259" s="5">
        <v>0.86</v>
      </c>
      <c r="C259" s="5">
        <f t="shared" ref="C259:C316" si="4">B259/100</f>
        <v>8.6E-3</v>
      </c>
    </row>
    <row r="260" spans="1:3" x14ac:dyDescent="0.25">
      <c r="A260" s="1">
        <v>38383</v>
      </c>
      <c r="B260" s="5">
        <v>0.57699999999999996</v>
      </c>
      <c r="C260" s="5">
        <f t="shared" si="4"/>
        <v>5.77E-3</v>
      </c>
    </row>
    <row r="261" spans="1:3" x14ac:dyDescent="0.25">
      <c r="A261" s="1">
        <v>38352</v>
      </c>
      <c r="B261" s="5">
        <v>-1.4219999999999999</v>
      </c>
      <c r="C261" s="5">
        <f t="shared" si="4"/>
        <v>-1.422E-2</v>
      </c>
    </row>
    <row r="262" spans="1:3" x14ac:dyDescent="0.25">
      <c r="A262" s="1">
        <v>38321</v>
      </c>
      <c r="B262" s="5">
        <v>-0.28399999999999997</v>
      </c>
      <c r="C262" s="5">
        <f t="shared" si="4"/>
        <v>-2.8399999999999996E-3</v>
      </c>
    </row>
    <row r="263" spans="1:3" x14ac:dyDescent="0.25">
      <c r="A263" s="1">
        <v>38291</v>
      </c>
      <c r="B263" s="5">
        <v>1.633</v>
      </c>
      <c r="C263" s="5">
        <f t="shared" si="4"/>
        <v>1.6330000000000001E-2</v>
      </c>
    </row>
    <row r="264" spans="1:3" x14ac:dyDescent="0.25">
      <c r="A264" s="1">
        <v>38260</v>
      </c>
      <c r="B264" s="5">
        <v>0.48299999999999998</v>
      </c>
      <c r="C264" s="5">
        <f t="shared" si="4"/>
        <v>4.8300000000000001E-3</v>
      </c>
    </row>
    <row r="265" spans="1:3" x14ac:dyDescent="0.25">
      <c r="A265" s="1">
        <v>38230</v>
      </c>
      <c r="B265" s="5">
        <v>1.4690000000000001</v>
      </c>
      <c r="C265" s="5">
        <f t="shared" si="4"/>
        <v>1.4690000000000002E-2</v>
      </c>
    </row>
    <row r="266" spans="1:3" x14ac:dyDescent="0.25">
      <c r="A266" s="1">
        <v>38199</v>
      </c>
      <c r="B266" s="5">
        <v>0.39300000000000002</v>
      </c>
      <c r="C266" s="5">
        <f t="shared" si="4"/>
        <v>3.9300000000000003E-3</v>
      </c>
    </row>
    <row r="267" spans="1:3" x14ac:dyDescent="0.25">
      <c r="A267" s="1">
        <v>38168</v>
      </c>
      <c r="B267" s="5">
        <v>-0.19600000000000001</v>
      </c>
      <c r="C267" s="5">
        <f t="shared" si="4"/>
        <v>-1.9599999999999999E-3</v>
      </c>
    </row>
    <row r="268" spans="1:3" x14ac:dyDescent="0.25">
      <c r="A268" s="1">
        <v>38138</v>
      </c>
      <c r="B268" s="5">
        <v>1.494</v>
      </c>
      <c r="C268" s="5">
        <f t="shared" si="4"/>
        <v>1.494E-2</v>
      </c>
    </row>
    <row r="269" spans="1:3" x14ac:dyDescent="0.25">
      <c r="A269" s="1">
        <v>38107</v>
      </c>
      <c r="B269" s="5">
        <v>0.2</v>
      </c>
      <c r="C269" s="5">
        <f t="shared" si="4"/>
        <v>2E-3</v>
      </c>
    </row>
    <row r="270" spans="1:3" x14ac:dyDescent="0.25">
      <c r="A270" s="1">
        <v>38077</v>
      </c>
      <c r="B270" s="5">
        <v>0.80500000000000005</v>
      </c>
      <c r="C270" s="5">
        <f t="shared" si="4"/>
        <v>8.0499999999999999E-3</v>
      </c>
    </row>
    <row r="271" spans="1:3" x14ac:dyDescent="0.25">
      <c r="A271" s="1">
        <v>38046</v>
      </c>
      <c r="B271" s="5">
        <v>0.40400000000000003</v>
      </c>
      <c r="C271" s="5">
        <f t="shared" si="4"/>
        <v>4.0400000000000002E-3</v>
      </c>
    </row>
    <row r="272" spans="1:3" x14ac:dyDescent="0.25">
      <c r="A272" s="1">
        <v>38017</v>
      </c>
      <c r="B272" s="5">
        <v>1.538</v>
      </c>
      <c r="C272" s="5">
        <f t="shared" si="4"/>
        <v>1.538E-2</v>
      </c>
    </row>
    <row r="273" spans="1:3" x14ac:dyDescent="0.25">
      <c r="A273" s="1">
        <v>37986</v>
      </c>
      <c r="B273" s="5">
        <v>0.72299999999999998</v>
      </c>
      <c r="C273" s="5">
        <f t="shared" si="4"/>
        <v>7.2299999999999994E-3</v>
      </c>
    </row>
    <row r="274" spans="1:3" x14ac:dyDescent="0.25">
      <c r="A274" s="1">
        <v>37955</v>
      </c>
      <c r="B274" s="5">
        <v>0.51900000000000002</v>
      </c>
      <c r="C274" s="5">
        <f t="shared" si="4"/>
        <v>5.1900000000000002E-3</v>
      </c>
    </row>
    <row r="275" spans="1:3" x14ac:dyDescent="0.25">
      <c r="A275" s="1">
        <v>37925</v>
      </c>
      <c r="B275" s="5">
        <v>0.104</v>
      </c>
      <c r="C275" s="5">
        <f t="shared" si="4"/>
        <v>1.0399999999999999E-3</v>
      </c>
    </row>
    <row r="276" spans="1:3" x14ac:dyDescent="0.25">
      <c r="A276" s="1">
        <v>37894</v>
      </c>
      <c r="B276" s="5">
        <v>-0.51700000000000002</v>
      </c>
      <c r="C276" s="5">
        <f t="shared" si="4"/>
        <v>-5.1700000000000001E-3</v>
      </c>
    </row>
    <row r="277" spans="1:3" x14ac:dyDescent="0.25">
      <c r="A277" s="1">
        <v>37864</v>
      </c>
      <c r="B277" s="5">
        <v>0</v>
      </c>
      <c r="C277" s="5">
        <f t="shared" si="4"/>
        <v>0</v>
      </c>
    </row>
    <row r="278" spans="1:3" x14ac:dyDescent="0.25">
      <c r="A278" s="1">
        <v>37833</v>
      </c>
      <c r="B278" s="5">
        <v>0.52</v>
      </c>
      <c r="C278" s="5">
        <f t="shared" si="4"/>
        <v>5.1999999999999998E-3</v>
      </c>
    </row>
    <row r="279" spans="1:3" x14ac:dyDescent="0.25">
      <c r="A279" s="1">
        <v>37802</v>
      </c>
      <c r="B279" s="5">
        <v>0.94399999999999995</v>
      </c>
      <c r="C279" s="5">
        <f t="shared" si="4"/>
        <v>9.4399999999999987E-3</v>
      </c>
    </row>
    <row r="280" spans="1:3" x14ac:dyDescent="0.25">
      <c r="A280" s="1">
        <v>37772</v>
      </c>
      <c r="B280" s="5">
        <v>-0.72899999999999998</v>
      </c>
      <c r="C280" s="5">
        <f t="shared" si="4"/>
        <v>-7.2899999999999996E-3</v>
      </c>
    </row>
    <row r="281" spans="1:3" x14ac:dyDescent="0.25">
      <c r="A281" s="1">
        <v>37741</v>
      </c>
      <c r="B281" s="5">
        <v>-3.1280000000000001</v>
      </c>
      <c r="C281" s="5">
        <f t="shared" si="4"/>
        <v>-3.1280000000000002E-2</v>
      </c>
    </row>
    <row r="282" spans="1:3" x14ac:dyDescent="0.25">
      <c r="A282" s="1">
        <v>37711</v>
      </c>
      <c r="B282" s="5">
        <v>0.60899999999999999</v>
      </c>
      <c r="C282" s="5">
        <f t="shared" si="4"/>
        <v>6.0899999999999999E-3</v>
      </c>
    </row>
    <row r="283" spans="1:3" x14ac:dyDescent="0.25">
      <c r="A283" s="1">
        <v>37680</v>
      </c>
      <c r="B283" s="5">
        <v>1.651</v>
      </c>
      <c r="C283" s="5">
        <f t="shared" si="4"/>
        <v>1.651E-2</v>
      </c>
    </row>
    <row r="284" spans="1:3" x14ac:dyDescent="0.25">
      <c r="A284" s="1">
        <v>37652</v>
      </c>
      <c r="B284" s="5">
        <v>1.786</v>
      </c>
      <c r="C284" s="5">
        <f t="shared" si="4"/>
        <v>1.7860000000000001E-2</v>
      </c>
    </row>
    <row r="285" spans="1:3" x14ac:dyDescent="0.25">
      <c r="A285" s="1">
        <v>37621</v>
      </c>
      <c r="B285" s="5">
        <v>0.63400000000000001</v>
      </c>
      <c r="C285" s="5">
        <f t="shared" si="4"/>
        <v>6.3400000000000001E-3</v>
      </c>
    </row>
    <row r="286" spans="1:3" x14ac:dyDescent="0.25">
      <c r="A286" s="1">
        <v>37590</v>
      </c>
      <c r="B286" s="5">
        <v>-0.94199999999999995</v>
      </c>
      <c r="C286" s="5">
        <f t="shared" si="4"/>
        <v>-9.4199999999999996E-3</v>
      </c>
    </row>
    <row r="287" spans="1:3" x14ac:dyDescent="0.25">
      <c r="A287" s="1">
        <v>37560</v>
      </c>
      <c r="B287" s="5">
        <v>0</v>
      </c>
      <c r="C287" s="5">
        <f t="shared" si="4"/>
        <v>0</v>
      </c>
    </row>
    <row r="288" spans="1:3" x14ac:dyDescent="0.25">
      <c r="A288" s="1">
        <v>37529</v>
      </c>
      <c r="B288" s="5">
        <v>0.73799999999999999</v>
      </c>
      <c r="C288" s="5">
        <f t="shared" si="4"/>
        <v>7.3800000000000003E-3</v>
      </c>
    </row>
    <row r="289" spans="1:3" x14ac:dyDescent="0.25">
      <c r="A289" s="1">
        <v>37499</v>
      </c>
      <c r="B289" s="5">
        <v>0.317</v>
      </c>
      <c r="C289" s="5">
        <f t="shared" si="4"/>
        <v>3.1700000000000001E-3</v>
      </c>
    </row>
    <row r="290" spans="1:3" x14ac:dyDescent="0.25">
      <c r="A290" s="1">
        <v>37468</v>
      </c>
      <c r="B290" s="5">
        <v>0.42499999999999999</v>
      </c>
      <c r="C290" s="5">
        <f t="shared" si="4"/>
        <v>4.2500000000000003E-3</v>
      </c>
    </row>
    <row r="291" spans="1:3" x14ac:dyDescent="0.25">
      <c r="A291" s="1">
        <v>37437</v>
      </c>
      <c r="B291" s="5">
        <v>-0.318</v>
      </c>
      <c r="C291" s="5">
        <f t="shared" si="4"/>
        <v>-3.1800000000000001E-3</v>
      </c>
    </row>
    <row r="292" spans="1:3" x14ac:dyDescent="0.25">
      <c r="A292" s="1">
        <v>37407</v>
      </c>
      <c r="B292" s="5">
        <v>0.106</v>
      </c>
      <c r="C292" s="5">
        <f t="shared" si="4"/>
        <v>1.06E-3</v>
      </c>
    </row>
    <row r="293" spans="1:3" x14ac:dyDescent="0.25">
      <c r="A293" s="1">
        <v>37376</v>
      </c>
      <c r="B293" s="5">
        <v>1.6160000000000001</v>
      </c>
      <c r="C293" s="5">
        <f t="shared" si="4"/>
        <v>1.6160000000000001E-2</v>
      </c>
    </row>
    <row r="294" spans="1:3" x14ac:dyDescent="0.25">
      <c r="A294" s="1">
        <v>37346</v>
      </c>
      <c r="B294" s="5">
        <v>1.31</v>
      </c>
      <c r="C294" s="5">
        <f t="shared" si="4"/>
        <v>1.3100000000000001E-2</v>
      </c>
    </row>
    <row r="295" spans="1:3" x14ac:dyDescent="0.25">
      <c r="A295" s="1">
        <v>37315</v>
      </c>
      <c r="B295" s="5">
        <v>0</v>
      </c>
      <c r="C295" s="5">
        <f t="shared" si="4"/>
        <v>0</v>
      </c>
    </row>
    <row r="296" spans="1:3" x14ac:dyDescent="0.25">
      <c r="A296" s="1">
        <v>37287</v>
      </c>
      <c r="B296" s="5">
        <v>0.219</v>
      </c>
      <c r="C296" s="5">
        <f t="shared" si="4"/>
        <v>2.1900000000000001E-3</v>
      </c>
    </row>
    <row r="297" spans="1:3" x14ac:dyDescent="0.25">
      <c r="A297" s="1">
        <v>37256</v>
      </c>
      <c r="B297" s="5">
        <v>-0.97499999999999998</v>
      </c>
      <c r="C297" s="5">
        <f t="shared" si="4"/>
        <v>-9.75E-3</v>
      </c>
    </row>
    <row r="298" spans="1:3" x14ac:dyDescent="0.25">
      <c r="A298" s="1">
        <v>37225</v>
      </c>
      <c r="B298" s="5">
        <v>-1.494</v>
      </c>
      <c r="C298" s="5">
        <f t="shared" si="4"/>
        <v>-1.494E-2</v>
      </c>
    </row>
    <row r="299" spans="1:3" x14ac:dyDescent="0.25">
      <c r="A299" s="1">
        <v>37195</v>
      </c>
      <c r="B299" s="5">
        <v>-2.294</v>
      </c>
      <c r="C299" s="5">
        <f t="shared" si="4"/>
        <v>-2.2940000000000002E-2</v>
      </c>
    </row>
    <row r="300" spans="1:3" x14ac:dyDescent="0.25">
      <c r="A300" s="1">
        <v>37164</v>
      </c>
      <c r="B300" s="5">
        <v>-0.104</v>
      </c>
      <c r="C300" s="5">
        <f t="shared" si="4"/>
        <v>-1.0399999999999999E-3</v>
      </c>
    </row>
    <row r="301" spans="1:3" x14ac:dyDescent="0.25">
      <c r="A301" s="1">
        <v>37134</v>
      </c>
      <c r="B301" s="5">
        <v>-0.104</v>
      </c>
      <c r="C301" s="5">
        <f t="shared" si="4"/>
        <v>-1.0399999999999999E-3</v>
      </c>
    </row>
    <row r="302" spans="1:3" x14ac:dyDescent="0.25">
      <c r="A302" s="1">
        <v>37103</v>
      </c>
      <c r="B302" s="5">
        <v>-1.5369999999999999</v>
      </c>
      <c r="C302" s="5">
        <f t="shared" si="4"/>
        <v>-1.537E-2</v>
      </c>
    </row>
    <row r="303" spans="1:3" x14ac:dyDescent="0.25">
      <c r="A303" s="1">
        <v>37072</v>
      </c>
      <c r="B303" s="5">
        <v>-0.40799999999999997</v>
      </c>
      <c r="C303" s="5">
        <f t="shared" si="4"/>
        <v>-4.0799999999999994E-3</v>
      </c>
    </row>
    <row r="304" spans="1:3" x14ac:dyDescent="0.25">
      <c r="A304" s="1">
        <v>37042</v>
      </c>
      <c r="B304" s="5">
        <v>0.20499999999999999</v>
      </c>
      <c r="C304" s="5">
        <f t="shared" si="4"/>
        <v>2.0499999999999997E-3</v>
      </c>
    </row>
    <row r="305" spans="1:3" x14ac:dyDescent="0.25">
      <c r="A305" s="1">
        <v>37011</v>
      </c>
      <c r="B305" s="5">
        <v>-0.50900000000000001</v>
      </c>
      <c r="C305" s="5">
        <f t="shared" si="4"/>
        <v>-5.0899999999999999E-3</v>
      </c>
    </row>
    <row r="306" spans="1:3" x14ac:dyDescent="0.25">
      <c r="A306" s="1">
        <v>36981</v>
      </c>
      <c r="B306" s="5">
        <v>-1.6020000000000001</v>
      </c>
      <c r="C306" s="5">
        <f t="shared" si="4"/>
        <v>-1.602E-2</v>
      </c>
    </row>
    <row r="307" spans="1:3" x14ac:dyDescent="0.25">
      <c r="A307" s="1">
        <v>36950</v>
      </c>
      <c r="B307" s="5">
        <v>-0.59699999999999998</v>
      </c>
      <c r="C307" s="5">
        <f t="shared" si="4"/>
        <v>-5.9699999999999996E-3</v>
      </c>
    </row>
    <row r="308" spans="1:3" x14ac:dyDescent="0.25">
      <c r="A308" s="1">
        <v>36922</v>
      </c>
      <c r="B308" s="5">
        <v>0</v>
      </c>
      <c r="C308" s="5">
        <f t="shared" si="4"/>
        <v>0</v>
      </c>
    </row>
    <row r="309" spans="1:3" x14ac:dyDescent="0.25">
      <c r="A309" s="1">
        <v>36891</v>
      </c>
      <c r="B309" s="5">
        <v>-0.69199999999999995</v>
      </c>
      <c r="C309" s="5">
        <f t="shared" si="4"/>
        <v>-6.9199999999999991E-3</v>
      </c>
    </row>
    <row r="310" spans="1:3" x14ac:dyDescent="0.25">
      <c r="A310" s="1">
        <v>36860</v>
      </c>
      <c r="B310" s="5">
        <v>0</v>
      </c>
      <c r="C310" s="5">
        <f t="shared" si="4"/>
        <v>0</v>
      </c>
    </row>
    <row r="311" spans="1:3" x14ac:dyDescent="0.25">
      <c r="A311" s="1">
        <v>36830</v>
      </c>
      <c r="B311" s="5">
        <v>-0.39400000000000002</v>
      </c>
      <c r="C311" s="5">
        <f t="shared" si="4"/>
        <v>-3.9399999999999999E-3</v>
      </c>
    </row>
    <row r="312" spans="1:3" x14ac:dyDescent="0.25">
      <c r="A312" s="1">
        <v>36799</v>
      </c>
      <c r="B312" s="5">
        <v>1.1950000000000001</v>
      </c>
      <c r="C312" s="5">
        <f t="shared" si="4"/>
        <v>1.1950000000000001E-2</v>
      </c>
    </row>
    <row r="313" spans="1:3" x14ac:dyDescent="0.25">
      <c r="A313" s="1">
        <v>36769</v>
      </c>
      <c r="B313" s="5">
        <v>0.2</v>
      </c>
      <c r="C313" s="5">
        <f t="shared" si="4"/>
        <v>2E-3</v>
      </c>
    </row>
    <row r="314" spans="1:3" x14ac:dyDescent="0.25">
      <c r="A314" s="1">
        <v>36738</v>
      </c>
      <c r="B314" s="5">
        <v>0</v>
      </c>
      <c r="C314" s="5">
        <f t="shared" si="4"/>
        <v>0</v>
      </c>
    </row>
    <row r="315" spans="1:3" x14ac:dyDescent="0.25">
      <c r="A315" s="1">
        <v>36707</v>
      </c>
      <c r="B315" s="5">
        <v>1.417</v>
      </c>
      <c r="C315" s="5">
        <f t="shared" si="4"/>
        <v>1.417E-2</v>
      </c>
    </row>
    <row r="316" spans="1:3" x14ac:dyDescent="0.25">
      <c r="A316" s="1">
        <v>36677</v>
      </c>
      <c r="B316" s="5">
        <v>0.30499999999999999</v>
      </c>
      <c r="C316" s="5">
        <f t="shared" si="4"/>
        <v>3.0499999999999998E-3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E8C67-5A63-4E77-99A4-FA5372BA56A5}">
  <dimension ref="A1:D509"/>
  <sheetViews>
    <sheetView zoomScale="145" zoomScaleNormal="145" workbookViewId="0">
      <selection activeCell="G10" sqref="G10"/>
    </sheetView>
  </sheetViews>
  <sheetFormatPr defaultRowHeight="15.75" x14ac:dyDescent="0.25"/>
  <cols>
    <col min="1" max="1" width="11" bestFit="1" customWidth="1"/>
    <col min="2" max="2" width="22.140625" bestFit="1" customWidth="1"/>
    <col min="3" max="3" width="22.140625" customWidth="1"/>
    <col min="4" max="4" width="14.140625" bestFit="1" customWidth="1"/>
  </cols>
  <sheetData>
    <row r="1" spans="1:4" x14ac:dyDescent="0.25">
      <c r="A1" t="s">
        <v>0</v>
      </c>
      <c r="B1" t="s">
        <v>2</v>
      </c>
      <c r="D1" t="s">
        <v>3</v>
      </c>
    </row>
    <row r="2" spans="1:4" x14ac:dyDescent="0.25">
      <c r="A2" s="1">
        <v>46265</v>
      </c>
    </row>
    <row r="3" spans="1:4" x14ac:dyDescent="0.25">
      <c r="A3" s="1">
        <v>46234</v>
      </c>
      <c r="D3">
        <v>2.38</v>
      </c>
    </row>
    <row r="4" spans="1:4" x14ac:dyDescent="0.25">
      <c r="A4" s="1">
        <v>46203</v>
      </c>
      <c r="D4">
        <v>2.44</v>
      </c>
    </row>
    <row r="5" spans="1:4" x14ac:dyDescent="0.25">
      <c r="A5" s="1">
        <v>46191</v>
      </c>
      <c r="B5">
        <v>2</v>
      </c>
      <c r="C5" s="4">
        <f>AVERAGE(D6:D8)</f>
        <v>1.9866666666666664</v>
      </c>
    </row>
    <row r="6" spans="1:4" x14ac:dyDescent="0.25">
      <c r="A6" s="1">
        <v>46173</v>
      </c>
      <c r="D6">
        <v>2.12</v>
      </c>
    </row>
    <row r="7" spans="1:4" x14ac:dyDescent="0.25">
      <c r="A7" s="1">
        <v>46142</v>
      </c>
      <c r="D7">
        <v>1.9</v>
      </c>
    </row>
    <row r="8" spans="1:4" x14ac:dyDescent="0.25">
      <c r="A8" s="1">
        <v>46112</v>
      </c>
      <c r="D8">
        <v>1.94</v>
      </c>
    </row>
    <row r="9" spans="1:4" x14ac:dyDescent="0.25">
      <c r="A9" s="1">
        <v>46100</v>
      </c>
      <c r="B9">
        <v>2</v>
      </c>
      <c r="C9" s="4">
        <f>AVERAGE(D10:D12)</f>
        <v>1.8966666666666665</v>
      </c>
    </row>
    <row r="10" spans="1:4" x14ac:dyDescent="0.25">
      <c r="A10" s="1">
        <v>46081</v>
      </c>
      <c r="D10">
        <v>2.61</v>
      </c>
    </row>
    <row r="11" spans="1:4" x14ac:dyDescent="0.25">
      <c r="A11" s="1">
        <v>46053</v>
      </c>
      <c r="D11">
        <v>1.25</v>
      </c>
    </row>
    <row r="12" spans="1:4" x14ac:dyDescent="0.25">
      <c r="A12" s="1">
        <v>46022</v>
      </c>
      <c r="D12">
        <v>1.83</v>
      </c>
    </row>
    <row r="13" spans="1:4" x14ac:dyDescent="0.25">
      <c r="A13" s="1">
        <v>46009</v>
      </c>
      <c r="B13">
        <v>2</v>
      </c>
      <c r="C13" s="4">
        <f>AVERAGE(D14:D16)</f>
        <v>1.6666666666666667</v>
      </c>
    </row>
    <row r="14" spans="1:4" x14ac:dyDescent="0.25">
      <c r="A14" s="1">
        <v>45991</v>
      </c>
      <c r="D14">
        <v>1.71</v>
      </c>
    </row>
    <row r="15" spans="1:4" x14ac:dyDescent="0.25">
      <c r="A15" s="1">
        <v>45961</v>
      </c>
      <c r="D15">
        <v>1.83</v>
      </c>
    </row>
    <row r="16" spans="1:4" x14ac:dyDescent="0.25">
      <c r="A16" s="1">
        <v>45930</v>
      </c>
      <c r="D16">
        <v>1.46</v>
      </c>
    </row>
    <row r="17" spans="1:4" x14ac:dyDescent="0.25">
      <c r="A17" s="1">
        <v>45918</v>
      </c>
      <c r="B17">
        <v>2</v>
      </c>
      <c r="C17" s="4">
        <f>AVERAGE(D18:D20)</f>
        <v>1.6333333333333335</v>
      </c>
    </row>
    <row r="18" spans="1:4" x14ac:dyDescent="0.25">
      <c r="A18" s="1">
        <v>45900</v>
      </c>
      <c r="D18">
        <v>1.75</v>
      </c>
    </row>
    <row r="19" spans="1:4" x14ac:dyDescent="0.25">
      <c r="A19" s="1">
        <v>45869</v>
      </c>
      <c r="D19">
        <v>1.69</v>
      </c>
    </row>
    <row r="20" spans="1:4" x14ac:dyDescent="0.25">
      <c r="A20" s="1">
        <v>45838</v>
      </c>
      <c r="D20">
        <v>1.46</v>
      </c>
    </row>
    <row r="21" spans="1:4" x14ac:dyDescent="0.25">
      <c r="A21" s="1">
        <v>45827</v>
      </c>
      <c r="B21">
        <v>2</v>
      </c>
      <c r="C21" s="4">
        <f>AVERAGE(D22:D24)</f>
        <v>1.6466666666666667</v>
      </c>
    </row>
    <row r="22" spans="1:4" x14ac:dyDescent="0.25">
      <c r="A22" s="1">
        <v>45808</v>
      </c>
      <c r="D22">
        <v>1.61</v>
      </c>
    </row>
    <row r="23" spans="1:4" x14ac:dyDescent="0.25">
      <c r="A23" s="1">
        <v>45777</v>
      </c>
      <c r="D23">
        <v>1.67</v>
      </c>
    </row>
    <row r="24" spans="1:4" x14ac:dyDescent="0.25">
      <c r="A24" s="1">
        <v>45747</v>
      </c>
      <c r="D24">
        <v>1.66</v>
      </c>
    </row>
    <row r="25" spans="1:4" x14ac:dyDescent="0.25">
      <c r="A25" s="1">
        <v>45736</v>
      </c>
      <c r="B25">
        <v>2</v>
      </c>
      <c r="C25" s="4">
        <f>AVERAGE(D26:D28)</f>
        <v>1.63</v>
      </c>
    </row>
    <row r="26" spans="1:4" x14ac:dyDescent="0.25">
      <c r="A26" s="1">
        <v>45716</v>
      </c>
      <c r="D26">
        <v>0.98</v>
      </c>
    </row>
    <row r="27" spans="1:4" x14ac:dyDescent="0.25">
      <c r="A27" s="1">
        <v>45688</v>
      </c>
      <c r="D27">
        <v>2.2599999999999998</v>
      </c>
    </row>
    <row r="28" spans="1:4" x14ac:dyDescent="0.25">
      <c r="A28" s="1">
        <v>45657</v>
      </c>
      <c r="D28">
        <v>1.65</v>
      </c>
    </row>
    <row r="29" spans="1:4" x14ac:dyDescent="0.25">
      <c r="A29" s="1">
        <v>45645</v>
      </c>
      <c r="B29">
        <v>2</v>
      </c>
      <c r="C29" s="4">
        <f>AVERAGE(D30:D32)</f>
        <v>1.7166666666666668</v>
      </c>
    </row>
    <row r="30" spans="1:4" x14ac:dyDescent="0.25">
      <c r="A30" s="1">
        <v>45626</v>
      </c>
      <c r="D30">
        <v>1.73</v>
      </c>
    </row>
    <row r="31" spans="1:4" x14ac:dyDescent="0.25">
      <c r="A31" s="1">
        <v>45596</v>
      </c>
      <c r="D31">
        <v>1.64</v>
      </c>
    </row>
    <row r="32" spans="1:4" x14ac:dyDescent="0.25">
      <c r="A32" s="1">
        <v>45565</v>
      </c>
      <c r="D32">
        <v>1.78</v>
      </c>
    </row>
    <row r="33" spans="1:4" x14ac:dyDescent="0.25">
      <c r="A33" s="1">
        <v>45554</v>
      </c>
      <c r="B33">
        <v>2</v>
      </c>
      <c r="C33" s="4">
        <f>AVERAGE(D34:D36)</f>
        <v>1.8266666666666669</v>
      </c>
    </row>
    <row r="34" spans="1:4" x14ac:dyDescent="0.25">
      <c r="A34" s="1">
        <v>45535</v>
      </c>
      <c r="D34">
        <v>1.8</v>
      </c>
    </row>
    <row r="35" spans="1:4" x14ac:dyDescent="0.25">
      <c r="A35" s="1">
        <v>45504</v>
      </c>
      <c r="D35">
        <v>1.85</v>
      </c>
    </row>
    <row r="36" spans="1:4" x14ac:dyDescent="0.25">
      <c r="A36" s="1">
        <v>45473</v>
      </c>
      <c r="D36">
        <v>1.83</v>
      </c>
    </row>
    <row r="37" spans="1:4" x14ac:dyDescent="0.25">
      <c r="A37" s="1">
        <v>45456</v>
      </c>
      <c r="B37">
        <v>2</v>
      </c>
      <c r="C37" s="4">
        <f>AVERAGE(D38:D40)</f>
        <v>1.9266666666666667</v>
      </c>
    </row>
    <row r="38" spans="1:4" x14ac:dyDescent="0.25">
      <c r="A38" s="1">
        <v>45443</v>
      </c>
      <c r="D38">
        <v>1.83</v>
      </c>
    </row>
    <row r="39" spans="1:4" x14ac:dyDescent="0.25">
      <c r="A39" s="1">
        <v>45412</v>
      </c>
      <c r="D39">
        <v>1.81</v>
      </c>
    </row>
    <row r="40" spans="1:4" x14ac:dyDescent="0.25">
      <c r="A40" s="1">
        <v>45382</v>
      </c>
      <c r="D40">
        <v>2.14</v>
      </c>
    </row>
    <row r="41" spans="1:4" x14ac:dyDescent="0.25">
      <c r="A41" s="1">
        <v>45372</v>
      </c>
      <c r="B41">
        <v>2</v>
      </c>
      <c r="C41" s="4">
        <f>AVERAGE(D42:D44)</f>
        <v>2.3233333333333337</v>
      </c>
    </row>
    <row r="42" spans="1:4" x14ac:dyDescent="0.25">
      <c r="A42" s="1">
        <v>45351</v>
      </c>
      <c r="D42">
        <v>2.89</v>
      </c>
    </row>
    <row r="43" spans="1:4" x14ac:dyDescent="0.25">
      <c r="A43" s="1">
        <v>45322</v>
      </c>
      <c r="D43">
        <v>1.65</v>
      </c>
    </row>
    <row r="44" spans="1:4" x14ac:dyDescent="0.25">
      <c r="A44" s="1">
        <v>45291</v>
      </c>
      <c r="D44">
        <v>2.4300000000000002</v>
      </c>
    </row>
    <row r="45" spans="1:4" x14ac:dyDescent="0.25">
      <c r="A45" s="1">
        <v>45274</v>
      </c>
      <c r="B45">
        <v>1.875</v>
      </c>
      <c r="C45" s="4">
        <f>AVERAGE(D46:D48)</f>
        <v>2.4533333333333336</v>
      </c>
    </row>
    <row r="46" spans="1:4" x14ac:dyDescent="0.25">
      <c r="A46" s="1">
        <v>45260</v>
      </c>
      <c r="D46">
        <v>2.39</v>
      </c>
    </row>
    <row r="47" spans="1:4" x14ac:dyDescent="0.25">
      <c r="A47" s="1">
        <v>45230</v>
      </c>
      <c r="D47">
        <v>2.4900000000000002</v>
      </c>
    </row>
    <row r="48" spans="1:4" x14ac:dyDescent="0.25">
      <c r="A48" s="1">
        <v>45199</v>
      </c>
      <c r="D48">
        <v>2.48</v>
      </c>
    </row>
    <row r="49" spans="1:4" x14ac:dyDescent="0.25">
      <c r="A49" s="1">
        <v>45190</v>
      </c>
      <c r="B49">
        <v>1.875</v>
      </c>
      <c r="C49" s="4">
        <f>AVERAGE(D50:D52)</f>
        <v>2.6366666666666667</v>
      </c>
    </row>
    <row r="50" spans="1:4" x14ac:dyDescent="0.25">
      <c r="A50" s="1">
        <v>45169</v>
      </c>
      <c r="D50">
        <v>2.57</v>
      </c>
    </row>
    <row r="51" spans="1:4" x14ac:dyDescent="0.25">
      <c r="A51" s="1">
        <v>45138</v>
      </c>
      <c r="D51">
        <v>2.73</v>
      </c>
    </row>
    <row r="52" spans="1:4" x14ac:dyDescent="0.25">
      <c r="A52" s="1">
        <v>45107</v>
      </c>
      <c r="D52">
        <v>2.61</v>
      </c>
    </row>
    <row r="53" spans="1:4" x14ac:dyDescent="0.25">
      <c r="A53" s="1">
        <v>45092</v>
      </c>
      <c r="B53">
        <v>1.875</v>
      </c>
      <c r="C53" s="4">
        <f>AVERAGE(D54:D56)</f>
        <v>2.6133333333333333</v>
      </c>
    </row>
    <row r="54" spans="1:4" x14ac:dyDescent="0.25">
      <c r="A54" s="1">
        <v>45077</v>
      </c>
      <c r="D54">
        <v>2.57</v>
      </c>
    </row>
    <row r="55" spans="1:4" x14ac:dyDescent="0.25">
      <c r="A55" s="1">
        <v>45046</v>
      </c>
      <c r="D55">
        <v>2.72</v>
      </c>
    </row>
    <row r="56" spans="1:4" x14ac:dyDescent="0.25">
      <c r="A56" s="1">
        <v>45016</v>
      </c>
      <c r="D56">
        <v>2.5499999999999998</v>
      </c>
    </row>
    <row r="57" spans="1:4" x14ac:dyDescent="0.25">
      <c r="A57" s="1">
        <v>45008</v>
      </c>
      <c r="B57">
        <v>1.875</v>
      </c>
      <c r="C57" s="4">
        <f>AVERAGE(D58:D60)</f>
        <v>2.75</v>
      </c>
    </row>
    <row r="58" spans="1:4" x14ac:dyDescent="0.25">
      <c r="A58" s="1">
        <v>44985</v>
      </c>
      <c r="D58">
        <v>2.5499999999999998</v>
      </c>
    </row>
    <row r="59" spans="1:4" x14ac:dyDescent="0.25">
      <c r="A59" s="1">
        <v>44957</v>
      </c>
      <c r="D59">
        <v>2.98</v>
      </c>
    </row>
    <row r="60" spans="1:4" x14ac:dyDescent="0.25">
      <c r="A60" s="1">
        <v>44926</v>
      </c>
      <c r="D60">
        <v>2.72</v>
      </c>
    </row>
    <row r="61" spans="1:4" x14ac:dyDescent="0.25">
      <c r="A61" s="1">
        <v>44910</v>
      </c>
      <c r="B61">
        <v>1.75</v>
      </c>
      <c r="C61" s="4">
        <f>AVERAGE(D62:D64)</f>
        <v>2.8766666666666665</v>
      </c>
    </row>
    <row r="62" spans="1:4" x14ac:dyDescent="0.25">
      <c r="A62" s="1">
        <v>44895</v>
      </c>
      <c r="D62">
        <v>2.86</v>
      </c>
    </row>
    <row r="63" spans="1:4" x14ac:dyDescent="0.25">
      <c r="A63" s="1">
        <v>44865</v>
      </c>
      <c r="D63">
        <v>2.97</v>
      </c>
    </row>
    <row r="64" spans="1:4" x14ac:dyDescent="0.25">
      <c r="A64" s="1">
        <v>44834</v>
      </c>
      <c r="D64">
        <v>2.8</v>
      </c>
    </row>
    <row r="65" spans="1:4" x14ac:dyDescent="0.25">
      <c r="A65" s="1">
        <v>44826</v>
      </c>
      <c r="B65">
        <v>1.625</v>
      </c>
      <c r="C65" s="4">
        <f>AVERAGE(D66:D68)</f>
        <v>2.7466666666666666</v>
      </c>
    </row>
    <row r="66" spans="1:4" x14ac:dyDescent="0.25">
      <c r="A66" s="1">
        <v>44804</v>
      </c>
      <c r="D66">
        <v>2.74</v>
      </c>
    </row>
    <row r="67" spans="1:4" x14ac:dyDescent="0.25">
      <c r="A67" s="1">
        <v>44773</v>
      </c>
      <c r="D67">
        <v>2.73</v>
      </c>
    </row>
    <row r="68" spans="1:4" x14ac:dyDescent="0.25">
      <c r="A68" s="1">
        <v>44742</v>
      </c>
      <c r="D68">
        <v>2.77</v>
      </c>
    </row>
    <row r="69" spans="1:4" x14ac:dyDescent="0.25">
      <c r="A69" s="1">
        <v>44728</v>
      </c>
      <c r="B69">
        <v>1.5</v>
      </c>
      <c r="C69" s="4">
        <f>AVERAGE(D70:D72)</f>
        <v>2.5366666666666666</v>
      </c>
    </row>
    <row r="70" spans="1:4" x14ac:dyDescent="0.25">
      <c r="A70" s="1">
        <v>44712</v>
      </c>
      <c r="D70">
        <v>2.61</v>
      </c>
    </row>
    <row r="71" spans="1:4" x14ac:dyDescent="0.25">
      <c r="A71" s="1">
        <v>44681</v>
      </c>
      <c r="D71">
        <v>2.5299999999999998</v>
      </c>
    </row>
    <row r="72" spans="1:4" x14ac:dyDescent="0.25">
      <c r="A72" s="1">
        <v>44651</v>
      </c>
      <c r="D72">
        <v>2.4700000000000002</v>
      </c>
    </row>
    <row r="73" spans="1:4" x14ac:dyDescent="0.25">
      <c r="A73" s="1">
        <v>44637</v>
      </c>
      <c r="B73">
        <v>1.375</v>
      </c>
      <c r="C73" s="4">
        <f>AVERAGE(D74:D76)</f>
        <v>1.97</v>
      </c>
    </row>
    <row r="74" spans="1:4" x14ac:dyDescent="0.25">
      <c r="A74" s="1">
        <v>44620</v>
      </c>
      <c r="D74">
        <v>1.64</v>
      </c>
    </row>
    <row r="75" spans="1:4" x14ac:dyDescent="0.25">
      <c r="A75" s="1">
        <v>44592</v>
      </c>
      <c r="D75">
        <v>2.42</v>
      </c>
    </row>
    <row r="76" spans="1:4" x14ac:dyDescent="0.25">
      <c r="A76" s="1">
        <v>44561</v>
      </c>
      <c r="D76">
        <v>1.85</v>
      </c>
    </row>
    <row r="77" spans="1:4" x14ac:dyDescent="0.25">
      <c r="A77" s="1">
        <v>44546</v>
      </c>
      <c r="B77">
        <v>1.125</v>
      </c>
      <c r="C77" s="4">
        <f>AVERAGE(D78:D80)</f>
        <v>1.54</v>
      </c>
    </row>
    <row r="78" spans="1:4" x14ac:dyDescent="0.25">
      <c r="A78" s="1">
        <v>44530</v>
      </c>
      <c r="D78">
        <v>1.5</v>
      </c>
    </row>
    <row r="79" spans="1:4" x14ac:dyDescent="0.25">
      <c r="A79" s="1">
        <v>44500</v>
      </c>
      <c r="D79">
        <v>1.41</v>
      </c>
    </row>
    <row r="80" spans="1:4" x14ac:dyDescent="0.25">
      <c r="A80" s="1">
        <v>44469</v>
      </c>
      <c r="D80">
        <v>1.71</v>
      </c>
    </row>
    <row r="81" spans="1:4" x14ac:dyDescent="0.25">
      <c r="A81" s="1">
        <v>44462</v>
      </c>
      <c r="B81">
        <v>1.125</v>
      </c>
      <c r="C81" s="4">
        <f>AVERAGE(D82:D84)</f>
        <v>1.28</v>
      </c>
    </row>
    <row r="82" spans="1:4" x14ac:dyDescent="0.25">
      <c r="A82" s="1">
        <v>44439</v>
      </c>
      <c r="D82">
        <v>1.31</v>
      </c>
    </row>
    <row r="83" spans="1:4" x14ac:dyDescent="0.25">
      <c r="A83" s="1">
        <v>44408</v>
      </c>
      <c r="D83">
        <v>1.24</v>
      </c>
    </row>
    <row r="84" spans="1:4" x14ac:dyDescent="0.25">
      <c r="A84" s="1">
        <v>44377</v>
      </c>
      <c r="D84">
        <v>1.29</v>
      </c>
    </row>
    <row r="85" spans="1:4" x14ac:dyDescent="0.25">
      <c r="A85" s="1">
        <v>44364</v>
      </c>
      <c r="B85">
        <v>1.125</v>
      </c>
      <c r="C85" s="4">
        <f>AVERAGE(D86:D88)</f>
        <v>1.3166666666666667</v>
      </c>
    </row>
    <row r="86" spans="1:4" x14ac:dyDescent="0.25">
      <c r="A86" s="1">
        <v>44347</v>
      </c>
      <c r="D86">
        <v>1.54</v>
      </c>
    </row>
    <row r="87" spans="1:4" x14ac:dyDescent="0.25">
      <c r="A87" s="1">
        <v>44316</v>
      </c>
      <c r="D87">
        <v>1.37</v>
      </c>
    </row>
    <row r="88" spans="1:4" x14ac:dyDescent="0.25">
      <c r="A88" s="1">
        <v>44286</v>
      </c>
      <c r="D88">
        <v>1.04</v>
      </c>
    </row>
    <row r="89" spans="1:4" x14ac:dyDescent="0.25">
      <c r="A89" s="1">
        <v>44273</v>
      </c>
      <c r="B89">
        <v>1.125</v>
      </c>
      <c r="C89" s="4">
        <f>AVERAGE(D90:D92)</f>
        <v>0.77999999999999992</v>
      </c>
    </row>
    <row r="90" spans="1:4" x14ac:dyDescent="0.25">
      <c r="A90" s="1">
        <v>44255</v>
      </c>
      <c r="D90">
        <v>1.64</v>
      </c>
    </row>
    <row r="91" spans="1:4" x14ac:dyDescent="0.25">
      <c r="A91" s="1">
        <v>44227</v>
      </c>
      <c r="D91">
        <v>0.03</v>
      </c>
    </row>
    <row r="92" spans="1:4" x14ac:dyDescent="0.25">
      <c r="A92" s="1">
        <v>44196</v>
      </c>
      <c r="D92">
        <v>0.67</v>
      </c>
    </row>
    <row r="93" spans="1:4" x14ac:dyDescent="0.25">
      <c r="A93" s="1">
        <v>44182</v>
      </c>
      <c r="B93">
        <v>1.125</v>
      </c>
      <c r="C93" s="4">
        <f>AVERAGE(D94:D96)</f>
        <v>0.50666666666666671</v>
      </c>
    </row>
    <row r="94" spans="1:4" x14ac:dyDescent="0.25">
      <c r="A94" s="1">
        <v>44165</v>
      </c>
      <c r="D94">
        <v>0.77</v>
      </c>
    </row>
    <row r="95" spans="1:4" x14ac:dyDescent="0.25">
      <c r="A95" s="1">
        <v>44135</v>
      </c>
      <c r="D95">
        <v>0.51</v>
      </c>
    </row>
    <row r="96" spans="1:4" x14ac:dyDescent="0.25">
      <c r="A96" s="1">
        <v>44104</v>
      </c>
      <c r="D96">
        <v>0.24</v>
      </c>
    </row>
    <row r="97" spans="1:4" x14ac:dyDescent="0.25">
      <c r="A97" s="1">
        <v>44091</v>
      </c>
      <c r="B97">
        <v>1.125</v>
      </c>
      <c r="C97" s="4">
        <f>AVERAGE(D98:D100)</f>
        <v>0.20666666666666667</v>
      </c>
    </row>
    <row r="98" spans="1:4" x14ac:dyDescent="0.25">
      <c r="A98" s="1">
        <v>44074</v>
      </c>
      <c r="D98">
        <v>0.33</v>
      </c>
    </row>
    <row r="99" spans="1:4" x14ac:dyDescent="0.25">
      <c r="A99" s="1">
        <v>44043</v>
      </c>
      <c r="D99">
        <v>0.15</v>
      </c>
    </row>
    <row r="100" spans="1:4" x14ac:dyDescent="0.25">
      <c r="A100" s="1">
        <v>44012</v>
      </c>
      <c r="D100">
        <v>0.14000000000000001</v>
      </c>
    </row>
    <row r="101" spans="1:4" x14ac:dyDescent="0.25">
      <c r="A101" s="1">
        <v>44000</v>
      </c>
      <c r="B101">
        <v>1.125</v>
      </c>
      <c r="C101" s="4">
        <f>AVERAGE(D102:D104)</f>
        <v>0.14333333333333334</v>
      </c>
    </row>
    <row r="102" spans="1:4" x14ac:dyDescent="0.25">
      <c r="A102" s="1">
        <v>43982</v>
      </c>
      <c r="D102">
        <v>0.06</v>
      </c>
    </row>
    <row r="103" spans="1:4" x14ac:dyDescent="0.25">
      <c r="A103" s="1">
        <v>43951</v>
      </c>
      <c r="D103">
        <v>0.04</v>
      </c>
    </row>
    <row r="104" spans="1:4" x14ac:dyDescent="0.25">
      <c r="A104" s="1">
        <v>43921</v>
      </c>
      <c r="D104">
        <v>0.33</v>
      </c>
    </row>
    <row r="105" spans="1:4" x14ac:dyDescent="0.25">
      <c r="A105" s="1">
        <v>43909</v>
      </c>
      <c r="B105">
        <v>1.125</v>
      </c>
      <c r="C105" s="4">
        <f>AVERAGE(D106:D108)</f>
        <v>0.51333333333333331</v>
      </c>
    </row>
    <row r="106" spans="1:4" x14ac:dyDescent="0.25">
      <c r="A106" s="1">
        <v>43890</v>
      </c>
      <c r="D106">
        <v>-0.36</v>
      </c>
    </row>
    <row r="107" spans="1:4" x14ac:dyDescent="0.25">
      <c r="A107" s="1">
        <v>43861</v>
      </c>
      <c r="D107">
        <v>1.34</v>
      </c>
    </row>
    <row r="108" spans="1:4" x14ac:dyDescent="0.25">
      <c r="A108" s="1">
        <v>43830</v>
      </c>
      <c r="D108">
        <v>0.56000000000000005</v>
      </c>
    </row>
    <row r="109" spans="1:4" x14ac:dyDescent="0.25">
      <c r="A109" s="1">
        <v>43818</v>
      </c>
      <c r="B109">
        <v>1.375</v>
      </c>
      <c r="C109" s="4">
        <f>AVERAGE(D110:D112)</f>
        <v>0.55333333333333334</v>
      </c>
    </row>
    <row r="110" spans="1:4" x14ac:dyDescent="0.25">
      <c r="A110" s="1">
        <v>43799</v>
      </c>
      <c r="D110">
        <v>0.53</v>
      </c>
    </row>
    <row r="111" spans="1:4" x14ac:dyDescent="0.25">
      <c r="A111" s="1">
        <v>43769</v>
      </c>
      <c r="D111">
        <v>0.63</v>
      </c>
    </row>
    <row r="112" spans="1:4" x14ac:dyDescent="0.25">
      <c r="A112" s="1">
        <v>43738</v>
      </c>
      <c r="D112">
        <v>0.5</v>
      </c>
    </row>
    <row r="113" spans="1:4" x14ac:dyDescent="0.25">
      <c r="A113" s="1">
        <v>43727</v>
      </c>
      <c r="B113">
        <v>1.375</v>
      </c>
      <c r="C113" s="4">
        <f>AVERAGE(D114:D116)</f>
        <v>0.39666666666666667</v>
      </c>
    </row>
    <row r="114" spans="1:4" x14ac:dyDescent="0.25">
      <c r="A114" s="1">
        <v>43708</v>
      </c>
      <c r="D114">
        <v>0.39</v>
      </c>
    </row>
    <row r="115" spans="1:4" x14ac:dyDescent="0.25">
      <c r="A115" s="1">
        <v>43677</v>
      </c>
      <c r="D115">
        <v>0.33</v>
      </c>
    </row>
    <row r="116" spans="1:4" x14ac:dyDescent="0.25">
      <c r="A116" s="1">
        <v>43646</v>
      </c>
      <c r="D116">
        <v>0.47</v>
      </c>
    </row>
    <row r="117" spans="1:4" x14ac:dyDescent="0.25">
      <c r="A117" s="1">
        <v>43636</v>
      </c>
      <c r="B117">
        <v>1.375</v>
      </c>
      <c r="C117" s="4">
        <f>AVERAGE(D118:D120)</f>
        <v>0.54666666666666663</v>
      </c>
    </row>
    <row r="118" spans="1:4" x14ac:dyDescent="0.25">
      <c r="A118" s="1">
        <v>43616</v>
      </c>
      <c r="D118">
        <v>0.61</v>
      </c>
    </row>
    <row r="119" spans="1:4" x14ac:dyDescent="0.25">
      <c r="A119" s="1">
        <v>43585</v>
      </c>
      <c r="D119">
        <v>0.57999999999999996</v>
      </c>
    </row>
    <row r="120" spans="1:4" x14ac:dyDescent="0.25">
      <c r="A120" s="1">
        <v>43555</v>
      </c>
      <c r="D120">
        <v>0.45</v>
      </c>
    </row>
    <row r="121" spans="1:4" x14ac:dyDescent="0.25">
      <c r="A121" s="1">
        <v>43545</v>
      </c>
      <c r="B121">
        <v>1.375</v>
      </c>
      <c r="C121" s="4">
        <f>AVERAGE(D122:D124)</f>
        <v>0.43333333333333335</v>
      </c>
    </row>
    <row r="122" spans="1:4" x14ac:dyDescent="0.25">
      <c r="A122" s="1">
        <v>43524</v>
      </c>
      <c r="D122">
        <v>0.28999999999999998</v>
      </c>
    </row>
    <row r="123" spans="1:4" x14ac:dyDescent="0.25">
      <c r="A123" s="1">
        <v>43496</v>
      </c>
      <c r="D123">
        <v>0.51</v>
      </c>
    </row>
    <row r="124" spans="1:4" x14ac:dyDescent="0.25">
      <c r="A124" s="1">
        <v>43465</v>
      </c>
      <c r="D124">
        <v>0.5</v>
      </c>
    </row>
    <row r="125" spans="1:4" x14ac:dyDescent="0.25">
      <c r="A125" s="1">
        <v>43454</v>
      </c>
      <c r="B125">
        <v>1.375</v>
      </c>
      <c r="C125" s="4">
        <f>AVERAGE(D126:D128)</f>
        <v>0.86</v>
      </c>
    </row>
    <row r="126" spans="1:4" x14ac:dyDescent="0.25">
      <c r="A126" s="1">
        <v>43434</v>
      </c>
      <c r="D126">
        <v>0.66</v>
      </c>
    </row>
    <row r="127" spans="1:4" x14ac:dyDescent="0.25">
      <c r="A127" s="1">
        <v>43404</v>
      </c>
      <c r="D127">
        <v>0.71</v>
      </c>
    </row>
    <row r="128" spans="1:4" x14ac:dyDescent="0.25">
      <c r="A128" s="1">
        <v>43373</v>
      </c>
      <c r="D128">
        <v>1.21</v>
      </c>
    </row>
    <row r="129" spans="1:4" x14ac:dyDescent="0.25">
      <c r="A129" s="1">
        <v>43370</v>
      </c>
      <c r="B129">
        <v>1.375</v>
      </c>
      <c r="C129" s="4">
        <f>AVERAGE(D130:D132)</f>
        <v>1.43</v>
      </c>
    </row>
    <row r="130" spans="1:4" x14ac:dyDescent="0.25">
      <c r="A130" s="1">
        <v>43343</v>
      </c>
      <c r="D130">
        <v>1.37</v>
      </c>
    </row>
    <row r="131" spans="1:4" x14ac:dyDescent="0.25">
      <c r="A131" s="1">
        <v>43312</v>
      </c>
      <c r="D131">
        <v>1.51</v>
      </c>
    </row>
    <row r="132" spans="1:4" x14ac:dyDescent="0.25">
      <c r="A132" s="1">
        <v>43281</v>
      </c>
      <c r="D132">
        <v>1.41</v>
      </c>
    </row>
    <row r="133" spans="1:4" x14ac:dyDescent="0.25">
      <c r="A133" s="1">
        <v>43272</v>
      </c>
      <c r="B133">
        <v>1.375</v>
      </c>
      <c r="C133" s="4">
        <f>AVERAGE(D134:D136)</f>
        <v>1.32</v>
      </c>
    </row>
    <row r="134" spans="1:4" x14ac:dyDescent="0.25">
      <c r="A134" s="1">
        <v>43251</v>
      </c>
      <c r="D134">
        <v>1.08</v>
      </c>
    </row>
    <row r="135" spans="1:4" x14ac:dyDescent="0.25">
      <c r="A135" s="1">
        <v>43220</v>
      </c>
      <c r="D135">
        <v>1.33</v>
      </c>
    </row>
    <row r="136" spans="1:4" x14ac:dyDescent="0.25">
      <c r="A136" s="1">
        <v>43190</v>
      </c>
      <c r="D136">
        <v>1.55</v>
      </c>
    </row>
    <row r="137" spans="1:4" x14ac:dyDescent="0.25">
      <c r="A137" s="1">
        <v>43181</v>
      </c>
      <c r="B137">
        <v>1.375</v>
      </c>
      <c r="C137" s="4">
        <f>AVERAGE(D138:D140)</f>
        <v>1.5966666666666667</v>
      </c>
    </row>
    <row r="138" spans="1:4" x14ac:dyDescent="0.25">
      <c r="A138" s="1">
        <v>43159</v>
      </c>
      <c r="D138">
        <v>2.39</v>
      </c>
    </row>
    <row r="139" spans="1:4" x14ac:dyDescent="0.25">
      <c r="A139" s="1">
        <v>43131</v>
      </c>
      <c r="D139">
        <v>0.82</v>
      </c>
    </row>
    <row r="140" spans="1:4" x14ac:dyDescent="0.25">
      <c r="A140" s="1">
        <v>43100</v>
      </c>
      <c r="D140">
        <v>1.58</v>
      </c>
    </row>
    <row r="141" spans="1:4" x14ac:dyDescent="0.25">
      <c r="A141" s="1">
        <v>43090</v>
      </c>
      <c r="B141">
        <v>1.375</v>
      </c>
      <c r="C141" s="4">
        <f>AVERAGE(D142:D144)</f>
        <v>1.0666666666666667</v>
      </c>
    </row>
    <row r="142" spans="1:4" x14ac:dyDescent="0.25">
      <c r="A142" s="1">
        <v>43069</v>
      </c>
      <c r="D142">
        <v>1.28</v>
      </c>
    </row>
    <row r="143" spans="1:4" x14ac:dyDescent="0.25">
      <c r="A143" s="1">
        <v>43039</v>
      </c>
      <c r="D143">
        <v>1.1200000000000001</v>
      </c>
    </row>
    <row r="144" spans="1:4" x14ac:dyDescent="0.25">
      <c r="A144" s="1">
        <v>43008</v>
      </c>
      <c r="D144">
        <v>0.8</v>
      </c>
    </row>
    <row r="145" spans="1:4" x14ac:dyDescent="0.25">
      <c r="A145" s="1">
        <v>42999</v>
      </c>
      <c r="B145">
        <v>1.375</v>
      </c>
      <c r="C145" s="4">
        <f>AVERAGE(D146:D148)</f>
        <v>0.94666666666666666</v>
      </c>
    </row>
    <row r="146" spans="1:4" x14ac:dyDescent="0.25">
      <c r="A146" s="1">
        <v>42978</v>
      </c>
      <c r="D146">
        <v>0.96</v>
      </c>
    </row>
    <row r="147" spans="1:4" x14ac:dyDescent="0.25">
      <c r="A147" s="1">
        <v>42947</v>
      </c>
      <c r="D147">
        <v>0.91</v>
      </c>
    </row>
    <row r="148" spans="1:4" x14ac:dyDescent="0.25">
      <c r="A148" s="1">
        <v>42916</v>
      </c>
      <c r="D148">
        <v>0.97</v>
      </c>
    </row>
    <row r="149" spans="1:4" x14ac:dyDescent="0.25">
      <c r="A149" s="1">
        <v>42908</v>
      </c>
      <c r="B149">
        <v>1.375</v>
      </c>
      <c r="C149" s="4">
        <f>AVERAGE(D150:D152)</f>
        <v>1.0233333333333334</v>
      </c>
    </row>
    <row r="150" spans="1:4" x14ac:dyDescent="0.25">
      <c r="A150" s="1">
        <v>42886</v>
      </c>
      <c r="D150">
        <v>1.1100000000000001</v>
      </c>
    </row>
    <row r="151" spans="1:4" x14ac:dyDescent="0.25">
      <c r="A151" s="1">
        <v>42855</v>
      </c>
      <c r="D151">
        <v>1</v>
      </c>
    </row>
    <row r="152" spans="1:4" x14ac:dyDescent="0.25">
      <c r="A152" s="1">
        <v>42825</v>
      </c>
      <c r="D152">
        <v>0.96</v>
      </c>
    </row>
    <row r="153" spans="1:4" x14ac:dyDescent="0.25">
      <c r="A153" s="1">
        <v>42817</v>
      </c>
      <c r="B153">
        <v>1.375</v>
      </c>
      <c r="C153" s="4">
        <f>AVERAGE(D154:D156)</f>
        <v>0.87</v>
      </c>
    </row>
    <row r="154" spans="1:4" x14ac:dyDescent="0.25">
      <c r="A154" s="1">
        <v>42794</v>
      </c>
      <c r="D154">
        <v>0.16</v>
      </c>
    </row>
    <row r="155" spans="1:4" x14ac:dyDescent="0.25">
      <c r="A155" s="1">
        <v>42766</v>
      </c>
      <c r="D155">
        <v>1.64</v>
      </c>
    </row>
    <row r="156" spans="1:4" x14ac:dyDescent="0.25">
      <c r="A156" s="1">
        <v>42735</v>
      </c>
      <c r="D156">
        <v>0.81</v>
      </c>
    </row>
    <row r="157" spans="1:4" x14ac:dyDescent="0.25">
      <c r="A157" s="1">
        <v>42726</v>
      </c>
      <c r="B157">
        <v>1.375</v>
      </c>
      <c r="C157" s="4">
        <f>AVERAGE(D158:D160)</f>
        <v>0.91333333333333322</v>
      </c>
    </row>
    <row r="158" spans="1:4" x14ac:dyDescent="0.25">
      <c r="A158" s="1">
        <v>42704</v>
      </c>
      <c r="D158">
        <v>0.83</v>
      </c>
    </row>
    <row r="159" spans="1:4" x14ac:dyDescent="0.25">
      <c r="A159" s="1">
        <v>42674</v>
      </c>
      <c r="D159">
        <v>0.95</v>
      </c>
    </row>
    <row r="160" spans="1:4" x14ac:dyDescent="0.25">
      <c r="A160" s="1">
        <v>42643</v>
      </c>
      <c r="D160">
        <v>0.96</v>
      </c>
    </row>
    <row r="161" spans="1:4" x14ac:dyDescent="0.25">
      <c r="A161" s="1">
        <v>42642</v>
      </c>
      <c r="B161">
        <v>1.375</v>
      </c>
      <c r="C161" s="4">
        <f>AVERAGE(D162:D164)</f>
        <v>0.79333333333333333</v>
      </c>
    </row>
    <row r="162" spans="1:4" x14ac:dyDescent="0.25">
      <c r="A162" s="1">
        <v>42613</v>
      </c>
      <c r="D162">
        <v>0.77</v>
      </c>
    </row>
    <row r="163" spans="1:4" x14ac:dyDescent="0.25">
      <c r="A163" s="1">
        <v>42582</v>
      </c>
      <c r="D163">
        <v>0.8</v>
      </c>
    </row>
    <row r="164" spans="1:4" x14ac:dyDescent="0.25">
      <c r="A164" s="1">
        <v>42551</v>
      </c>
      <c r="B164">
        <v>1.375</v>
      </c>
      <c r="C164" s="4">
        <f>AVERAGE(D165:D167)</f>
        <v>0.86333333333333329</v>
      </c>
      <c r="D164">
        <v>0.81</v>
      </c>
    </row>
    <row r="165" spans="1:4" x14ac:dyDescent="0.25">
      <c r="A165" s="1">
        <v>42521</v>
      </c>
      <c r="D165">
        <v>0.91</v>
      </c>
    </row>
    <row r="166" spans="1:4" x14ac:dyDescent="0.25">
      <c r="A166" s="1">
        <v>42490</v>
      </c>
      <c r="D166">
        <v>0.9</v>
      </c>
    </row>
    <row r="167" spans="1:4" x14ac:dyDescent="0.25">
      <c r="A167" s="1">
        <v>42460</v>
      </c>
      <c r="D167">
        <v>0.78</v>
      </c>
    </row>
    <row r="168" spans="1:4" x14ac:dyDescent="0.25">
      <c r="A168" s="1">
        <v>42453</v>
      </c>
      <c r="B168">
        <v>1.5</v>
      </c>
      <c r="C168" s="4">
        <f>AVERAGE(D169:D171)</f>
        <v>0.75666666666666671</v>
      </c>
    </row>
    <row r="169" spans="1:4" x14ac:dyDescent="0.25">
      <c r="A169" s="1">
        <v>42429</v>
      </c>
      <c r="D169">
        <v>0.83</v>
      </c>
    </row>
    <row r="170" spans="1:4" x14ac:dyDescent="0.25">
      <c r="A170" s="1">
        <v>42400</v>
      </c>
      <c r="D170">
        <v>0.66</v>
      </c>
    </row>
    <row r="171" spans="1:4" x14ac:dyDescent="0.25">
      <c r="A171" s="1">
        <v>42369</v>
      </c>
      <c r="D171">
        <v>0.78</v>
      </c>
    </row>
    <row r="172" spans="1:4" x14ac:dyDescent="0.25">
      <c r="A172" s="1">
        <v>42355</v>
      </c>
      <c r="B172">
        <v>1.625</v>
      </c>
      <c r="C172" s="4">
        <f>AVERAGE(D173:D175)</f>
        <v>0.72000000000000008</v>
      </c>
    </row>
    <row r="173" spans="1:4" x14ac:dyDescent="0.25">
      <c r="A173" s="1">
        <v>42338</v>
      </c>
      <c r="D173">
        <v>0.86</v>
      </c>
    </row>
    <row r="174" spans="1:4" x14ac:dyDescent="0.25">
      <c r="A174" s="1">
        <v>42308</v>
      </c>
      <c r="D174">
        <v>0.7</v>
      </c>
    </row>
    <row r="175" spans="1:4" x14ac:dyDescent="0.25">
      <c r="A175" s="1">
        <v>42277</v>
      </c>
      <c r="D175">
        <v>0.6</v>
      </c>
    </row>
    <row r="176" spans="1:4" x14ac:dyDescent="0.25">
      <c r="A176" s="1">
        <v>42271</v>
      </c>
      <c r="B176">
        <v>1.75</v>
      </c>
      <c r="C176" s="4">
        <f>AVERAGE(D177:D179)</f>
        <v>0.62666666666666659</v>
      </c>
    </row>
    <row r="177" spans="1:4" x14ac:dyDescent="0.25">
      <c r="A177" s="1">
        <v>42247</v>
      </c>
      <c r="D177">
        <v>0.63</v>
      </c>
    </row>
    <row r="178" spans="1:4" x14ac:dyDescent="0.25">
      <c r="A178" s="1">
        <v>42216</v>
      </c>
      <c r="D178">
        <v>0.68</v>
      </c>
    </row>
    <row r="179" spans="1:4" x14ac:dyDescent="0.25">
      <c r="A179" s="1">
        <v>42185</v>
      </c>
      <c r="D179">
        <v>0.56999999999999995</v>
      </c>
    </row>
    <row r="180" spans="1:4" x14ac:dyDescent="0.25">
      <c r="A180" s="1">
        <v>42180</v>
      </c>
      <c r="B180">
        <v>1.875</v>
      </c>
      <c r="C180" s="4">
        <f>AVERAGE(D181:D183)</f>
        <v>0.74333333333333329</v>
      </c>
    </row>
    <row r="181" spans="1:4" x14ac:dyDescent="0.25">
      <c r="A181" s="1">
        <v>42155</v>
      </c>
      <c r="D181">
        <v>0.6</v>
      </c>
    </row>
    <row r="182" spans="1:4" x14ac:dyDescent="0.25">
      <c r="A182" s="1">
        <v>42124</v>
      </c>
      <c r="D182">
        <v>0.67</v>
      </c>
    </row>
    <row r="183" spans="1:4" x14ac:dyDescent="0.25">
      <c r="A183" s="1">
        <v>42094</v>
      </c>
      <c r="D183">
        <v>0.96</v>
      </c>
    </row>
    <row r="184" spans="1:4" x14ac:dyDescent="0.25">
      <c r="A184" s="1">
        <v>42089</v>
      </c>
      <c r="B184">
        <v>1.875</v>
      </c>
      <c r="C184" s="4">
        <f>AVERAGE(D185:D187)</f>
        <v>1.2633333333333334</v>
      </c>
    </row>
    <row r="185" spans="1:4" x14ac:dyDescent="0.25">
      <c r="A185" s="1">
        <v>42063</v>
      </c>
      <c r="D185">
        <v>1.79</v>
      </c>
    </row>
    <row r="186" spans="1:4" x14ac:dyDescent="0.25">
      <c r="A186" s="1">
        <v>42035</v>
      </c>
      <c r="D186">
        <v>0.64</v>
      </c>
    </row>
    <row r="187" spans="1:4" x14ac:dyDescent="0.25">
      <c r="A187" s="1">
        <v>42004</v>
      </c>
      <c r="D187">
        <v>1.36</v>
      </c>
    </row>
    <row r="188" spans="1:4" x14ac:dyDescent="0.25">
      <c r="A188" s="1">
        <v>41991</v>
      </c>
      <c r="B188">
        <v>1.875</v>
      </c>
      <c r="C188" s="4">
        <f>AVERAGE(D189:D191)</f>
        <v>1.5166666666666666</v>
      </c>
    </row>
    <row r="189" spans="1:4" x14ac:dyDescent="0.25">
      <c r="A189" s="1">
        <v>41973</v>
      </c>
      <c r="D189">
        <v>1.4</v>
      </c>
    </row>
    <row r="190" spans="1:4" x14ac:dyDescent="0.25">
      <c r="A190" s="1">
        <v>41943</v>
      </c>
      <c r="D190">
        <v>1.6</v>
      </c>
    </row>
    <row r="191" spans="1:4" x14ac:dyDescent="0.25">
      <c r="A191" s="1">
        <v>41912</v>
      </c>
      <c r="D191">
        <v>1.55</v>
      </c>
    </row>
    <row r="192" spans="1:4" x14ac:dyDescent="0.25">
      <c r="A192" s="1">
        <v>41907</v>
      </c>
      <c r="B192">
        <v>1.875</v>
      </c>
      <c r="C192" s="4">
        <f>AVERAGE(D193:D195)</f>
        <v>1.57</v>
      </c>
    </row>
    <row r="193" spans="1:4" x14ac:dyDescent="0.25">
      <c r="A193" s="1">
        <v>41882</v>
      </c>
      <c r="D193">
        <v>1.68</v>
      </c>
    </row>
    <row r="194" spans="1:4" x14ac:dyDescent="0.25">
      <c r="A194" s="1">
        <v>41851</v>
      </c>
      <c r="D194">
        <v>1.56</v>
      </c>
    </row>
    <row r="195" spans="1:4" x14ac:dyDescent="0.25">
      <c r="A195" s="1">
        <v>41820</v>
      </c>
      <c r="D195">
        <v>1.47</v>
      </c>
    </row>
    <row r="196" spans="1:4" x14ac:dyDescent="0.25">
      <c r="A196" s="1">
        <v>41816</v>
      </c>
      <c r="B196">
        <v>1.875</v>
      </c>
      <c r="C196" s="4">
        <f>AVERAGE(D197:D199)</f>
        <v>1.22</v>
      </c>
    </row>
    <row r="197" spans="1:4" x14ac:dyDescent="0.25">
      <c r="A197" s="1">
        <v>41790</v>
      </c>
      <c r="D197">
        <v>1.46</v>
      </c>
    </row>
    <row r="198" spans="1:4" x14ac:dyDescent="0.25">
      <c r="A198" s="1">
        <v>41759</v>
      </c>
      <c r="D198">
        <v>1.24</v>
      </c>
    </row>
    <row r="199" spans="1:4" x14ac:dyDescent="0.25">
      <c r="A199" s="1">
        <v>41729</v>
      </c>
      <c r="D199">
        <v>0.96</v>
      </c>
    </row>
    <row r="200" spans="1:4" x14ac:dyDescent="0.25">
      <c r="A200" s="1">
        <v>41725</v>
      </c>
      <c r="B200">
        <v>1.875</v>
      </c>
      <c r="C200" s="4">
        <f>AVERAGE(D201:D203)</f>
        <v>0.34666666666666668</v>
      </c>
    </row>
    <row r="201" spans="1:4" x14ac:dyDescent="0.25">
      <c r="A201" s="1">
        <v>41698</v>
      </c>
      <c r="D201">
        <v>-0.19</v>
      </c>
    </row>
    <row r="202" spans="1:4" x14ac:dyDescent="0.25">
      <c r="A202" s="1">
        <v>41670</v>
      </c>
      <c r="D202">
        <v>1.03</v>
      </c>
    </row>
    <row r="203" spans="1:4" x14ac:dyDescent="0.25">
      <c r="A203" s="1">
        <v>41639</v>
      </c>
      <c r="D203">
        <v>0.2</v>
      </c>
    </row>
    <row r="204" spans="1:4" x14ac:dyDescent="0.25">
      <c r="A204" s="1">
        <v>41634</v>
      </c>
      <c r="B204">
        <v>1.875</v>
      </c>
      <c r="C204" s="4">
        <f>AVERAGE(D205:D207)</f>
        <v>0.33</v>
      </c>
    </row>
    <row r="205" spans="1:4" x14ac:dyDescent="0.25">
      <c r="A205" s="1">
        <v>41608</v>
      </c>
      <c r="D205">
        <v>0.2</v>
      </c>
    </row>
    <row r="206" spans="1:4" x14ac:dyDescent="0.25">
      <c r="A206" s="1">
        <v>41578</v>
      </c>
      <c r="D206">
        <v>0.15</v>
      </c>
    </row>
    <row r="207" spans="1:4" x14ac:dyDescent="0.25">
      <c r="A207" s="1">
        <v>41547</v>
      </c>
      <c r="D207">
        <v>0.64</v>
      </c>
    </row>
    <row r="208" spans="1:4" x14ac:dyDescent="0.25">
      <c r="A208" s="1">
        <v>41543</v>
      </c>
      <c r="B208">
        <v>1.875</v>
      </c>
      <c r="C208" s="4">
        <f>AVERAGE(D209:D211)</f>
        <v>0.54333333333333333</v>
      </c>
    </row>
    <row r="209" spans="1:4" x14ac:dyDescent="0.25">
      <c r="A209" s="1">
        <v>41517</v>
      </c>
      <c r="D209">
        <v>0.5</v>
      </c>
    </row>
    <row r="210" spans="1:4" x14ac:dyDescent="0.25">
      <c r="A210" s="1">
        <v>41486</v>
      </c>
      <c r="D210">
        <v>0.52</v>
      </c>
    </row>
    <row r="211" spans="1:4" x14ac:dyDescent="0.25">
      <c r="A211" s="1">
        <v>41455</v>
      </c>
      <c r="D211">
        <v>0.61</v>
      </c>
    </row>
    <row r="212" spans="1:4" x14ac:dyDescent="0.25">
      <c r="A212" s="1">
        <v>41452</v>
      </c>
      <c r="B212">
        <v>1.875</v>
      </c>
      <c r="C212" s="4">
        <f>AVERAGE(D213:D215)</f>
        <v>0.8933333333333332</v>
      </c>
    </row>
    <row r="213" spans="1:4" x14ac:dyDescent="0.25">
      <c r="A213" s="1">
        <v>41425</v>
      </c>
      <c r="D213">
        <v>0.62</v>
      </c>
    </row>
    <row r="214" spans="1:4" x14ac:dyDescent="0.25">
      <c r="A214" s="1">
        <v>41394</v>
      </c>
      <c r="D214">
        <v>0.87</v>
      </c>
    </row>
    <row r="215" spans="1:4" x14ac:dyDescent="0.25">
      <c r="A215" s="1">
        <v>41364</v>
      </c>
      <c r="D215">
        <v>1.19</v>
      </c>
    </row>
    <row r="216" spans="1:4" x14ac:dyDescent="0.25">
      <c r="A216" s="1">
        <v>41361</v>
      </c>
      <c r="B216">
        <v>1.875</v>
      </c>
      <c r="C216" s="4">
        <f>AVERAGE(D217:D219)</f>
        <v>1.1866666666666668</v>
      </c>
    </row>
    <row r="217" spans="1:4" x14ac:dyDescent="0.25">
      <c r="A217" s="1">
        <v>41333</v>
      </c>
      <c r="D217">
        <v>2.1800000000000002</v>
      </c>
    </row>
    <row r="218" spans="1:4" x14ac:dyDescent="0.25">
      <c r="A218" s="1">
        <v>41305</v>
      </c>
      <c r="D218">
        <v>0.28999999999999998</v>
      </c>
    </row>
    <row r="219" spans="1:4" x14ac:dyDescent="0.25">
      <c r="A219" s="1">
        <v>41274</v>
      </c>
      <c r="D219">
        <v>1.0900000000000001</v>
      </c>
    </row>
    <row r="220" spans="1:4" x14ac:dyDescent="0.25">
      <c r="A220" s="1">
        <v>41262</v>
      </c>
      <c r="B220">
        <v>1.875</v>
      </c>
      <c r="C220" s="4">
        <f>AVERAGE(D221:D223)</f>
        <v>1.0433333333333332</v>
      </c>
    </row>
    <row r="221" spans="1:4" x14ac:dyDescent="0.25">
      <c r="A221" s="1">
        <v>41243</v>
      </c>
      <c r="D221">
        <v>1.01</v>
      </c>
    </row>
    <row r="222" spans="1:4" x14ac:dyDescent="0.25">
      <c r="A222" s="1">
        <v>41213</v>
      </c>
      <c r="D222">
        <v>1.0900000000000001</v>
      </c>
    </row>
    <row r="223" spans="1:4" x14ac:dyDescent="0.25">
      <c r="A223" s="1">
        <v>41182</v>
      </c>
      <c r="D223">
        <v>1.03</v>
      </c>
    </row>
    <row r="224" spans="1:4" x14ac:dyDescent="0.25">
      <c r="A224" s="1">
        <v>41172</v>
      </c>
      <c r="B224">
        <v>1.875</v>
      </c>
      <c r="C224" s="4">
        <f>AVERAGE(D225:D227)</f>
        <v>1.0033333333333332</v>
      </c>
    </row>
    <row r="225" spans="1:4" x14ac:dyDescent="0.25">
      <c r="A225" s="1">
        <v>41152</v>
      </c>
      <c r="D225">
        <v>1.05</v>
      </c>
    </row>
    <row r="226" spans="1:4" x14ac:dyDescent="0.25">
      <c r="A226" s="1">
        <v>41121</v>
      </c>
      <c r="D226">
        <v>1.04</v>
      </c>
    </row>
    <row r="227" spans="1:4" x14ac:dyDescent="0.25">
      <c r="A227" s="1">
        <v>41090</v>
      </c>
      <c r="D227">
        <v>0.92</v>
      </c>
    </row>
    <row r="228" spans="1:4" x14ac:dyDescent="0.25">
      <c r="A228" s="1">
        <v>41081</v>
      </c>
      <c r="B228">
        <v>1.875</v>
      </c>
      <c r="C228" s="4">
        <f>AVERAGE(D229:D231)</f>
        <v>0.95333333333333325</v>
      </c>
    </row>
    <row r="229" spans="1:4" x14ac:dyDescent="0.25">
      <c r="A229" s="1">
        <v>41060</v>
      </c>
      <c r="D229">
        <v>0.97</v>
      </c>
    </row>
    <row r="230" spans="1:4" x14ac:dyDescent="0.25">
      <c r="A230" s="1">
        <v>41029</v>
      </c>
      <c r="D230">
        <v>1.05</v>
      </c>
    </row>
    <row r="231" spans="1:4" x14ac:dyDescent="0.25">
      <c r="A231" s="1">
        <v>40999</v>
      </c>
      <c r="D231">
        <v>0.84</v>
      </c>
    </row>
    <row r="232" spans="1:4" x14ac:dyDescent="0.25">
      <c r="A232" s="1">
        <v>40990</v>
      </c>
      <c r="B232">
        <v>1.875</v>
      </c>
      <c r="C232" s="4">
        <f>AVERAGE(D233:D235)</f>
        <v>1.0633333333333332</v>
      </c>
    </row>
    <row r="233" spans="1:4" x14ac:dyDescent="0.25">
      <c r="A233" s="1">
        <v>40968</v>
      </c>
      <c r="D233">
        <v>-0.04</v>
      </c>
    </row>
    <row r="234" spans="1:4" x14ac:dyDescent="0.25">
      <c r="A234" s="1">
        <v>40939</v>
      </c>
      <c r="D234">
        <v>1.92</v>
      </c>
    </row>
    <row r="235" spans="1:4" x14ac:dyDescent="0.25">
      <c r="A235" s="1">
        <v>40908</v>
      </c>
      <c r="D235">
        <v>1.31</v>
      </c>
    </row>
    <row r="236" spans="1:4" x14ac:dyDescent="0.25">
      <c r="A236" s="1">
        <v>40906</v>
      </c>
      <c r="B236">
        <v>1.875</v>
      </c>
      <c r="C236" s="4">
        <f>AVERAGE(D237:D239)</f>
        <v>1.4133333333333333</v>
      </c>
    </row>
    <row r="237" spans="1:4" x14ac:dyDescent="0.25">
      <c r="A237" s="1">
        <v>40877</v>
      </c>
      <c r="D237">
        <v>1.37</v>
      </c>
    </row>
    <row r="238" spans="1:4" x14ac:dyDescent="0.25">
      <c r="A238" s="1">
        <v>40847</v>
      </c>
      <c r="D238">
        <v>1.62</v>
      </c>
    </row>
    <row r="239" spans="1:4" x14ac:dyDescent="0.25">
      <c r="A239" s="1">
        <v>40816</v>
      </c>
      <c r="D239">
        <v>1.25</v>
      </c>
    </row>
    <row r="240" spans="1:4" x14ac:dyDescent="0.25">
      <c r="A240" s="1">
        <v>40815</v>
      </c>
      <c r="B240">
        <v>1.875</v>
      </c>
      <c r="C240" s="4">
        <f>AVERAGE(D241:D243)</f>
        <v>1.3166666666666667</v>
      </c>
    </row>
    <row r="241" spans="1:4" x14ac:dyDescent="0.25">
      <c r="A241" s="1">
        <v>40786</v>
      </c>
      <c r="D241">
        <v>1.36</v>
      </c>
    </row>
    <row r="242" spans="1:4" x14ac:dyDescent="0.25">
      <c r="A242" s="1">
        <v>40755</v>
      </c>
      <c r="D242">
        <v>1.23</v>
      </c>
    </row>
    <row r="243" spans="1:4" x14ac:dyDescent="0.25">
      <c r="A243" s="1">
        <v>40724</v>
      </c>
      <c r="B243">
        <v>1.875</v>
      </c>
      <c r="C243" s="4">
        <f>AVERAGE(D244:D246)</f>
        <v>1.1833333333333336</v>
      </c>
      <c r="D243">
        <v>1.36</v>
      </c>
    </row>
    <row r="244" spans="1:4" x14ac:dyDescent="0.25">
      <c r="A244" s="1">
        <v>40694</v>
      </c>
      <c r="D244">
        <v>1.34</v>
      </c>
    </row>
    <row r="245" spans="1:4" x14ac:dyDescent="0.25">
      <c r="A245" s="1">
        <v>40663</v>
      </c>
      <c r="D245">
        <v>1.1000000000000001</v>
      </c>
    </row>
    <row r="246" spans="1:4" x14ac:dyDescent="0.25">
      <c r="A246" s="1">
        <v>40633</v>
      </c>
      <c r="B246">
        <v>1.75</v>
      </c>
      <c r="C246" s="4">
        <f>AVERAGE(D247:D249)</f>
        <v>1.03</v>
      </c>
      <c r="D246">
        <v>1.1100000000000001</v>
      </c>
    </row>
    <row r="247" spans="1:4" x14ac:dyDescent="0.25">
      <c r="A247" s="1">
        <v>40602</v>
      </c>
      <c r="D247">
        <v>0.92</v>
      </c>
    </row>
    <row r="248" spans="1:4" x14ac:dyDescent="0.25">
      <c r="A248" s="1">
        <v>40574</v>
      </c>
      <c r="D248">
        <v>1.07</v>
      </c>
    </row>
    <row r="249" spans="1:4" x14ac:dyDescent="0.25">
      <c r="A249" s="1">
        <v>40543</v>
      </c>
      <c r="D249">
        <v>1.1000000000000001</v>
      </c>
    </row>
    <row r="250" spans="1:4" x14ac:dyDescent="0.25">
      <c r="A250" s="1">
        <v>40542</v>
      </c>
      <c r="B250">
        <v>1.625</v>
      </c>
      <c r="C250" s="4">
        <f>AVERAGE(D251:D253)</f>
        <v>0.87</v>
      </c>
    </row>
    <row r="251" spans="1:4" x14ac:dyDescent="0.25">
      <c r="A251" s="1">
        <v>40512</v>
      </c>
      <c r="D251">
        <v>1.06</v>
      </c>
    </row>
    <row r="252" spans="1:4" x14ac:dyDescent="0.25">
      <c r="A252" s="1">
        <v>40482</v>
      </c>
      <c r="D252">
        <v>0.7</v>
      </c>
    </row>
    <row r="253" spans="1:4" x14ac:dyDescent="0.25">
      <c r="A253" s="1">
        <v>40451</v>
      </c>
      <c r="B253">
        <v>1.5</v>
      </c>
      <c r="C253" s="4">
        <f>AVERAGE(D254:D256)</f>
        <v>0.73</v>
      </c>
      <c r="D253">
        <v>0.85</v>
      </c>
    </row>
    <row r="254" spans="1:4" x14ac:dyDescent="0.25">
      <c r="A254" s="1">
        <v>40421</v>
      </c>
      <c r="D254">
        <v>0.51</v>
      </c>
    </row>
    <row r="255" spans="1:4" x14ac:dyDescent="0.25">
      <c r="A255" s="1">
        <v>40390</v>
      </c>
      <c r="D255">
        <v>0.87</v>
      </c>
    </row>
    <row r="256" spans="1:4" x14ac:dyDescent="0.25">
      <c r="A256" s="1">
        <v>40359</v>
      </c>
      <c r="D256">
        <v>0.81</v>
      </c>
    </row>
    <row r="257" spans="1:4" x14ac:dyDescent="0.25">
      <c r="A257" s="1">
        <v>40353</v>
      </c>
      <c r="B257">
        <v>1.375</v>
      </c>
      <c r="C257" s="4">
        <f>AVERAGE(D258:D260)</f>
        <v>0.33333333333333331</v>
      </c>
    </row>
    <row r="258" spans="1:4" x14ac:dyDescent="0.25">
      <c r="A258" s="1">
        <v>40329</v>
      </c>
      <c r="D258">
        <v>0.38</v>
      </c>
    </row>
    <row r="259" spans="1:4" x14ac:dyDescent="0.25">
      <c r="A259" s="1">
        <v>40298</v>
      </c>
      <c r="D259">
        <v>0.39</v>
      </c>
    </row>
    <row r="260" spans="1:4" x14ac:dyDescent="0.25">
      <c r="A260" s="1">
        <v>40268</v>
      </c>
      <c r="D260">
        <v>0.23</v>
      </c>
    </row>
    <row r="261" spans="1:4" x14ac:dyDescent="0.25">
      <c r="A261" s="1">
        <v>40262</v>
      </c>
      <c r="B261">
        <v>1.25</v>
      </c>
      <c r="C261" s="4">
        <f>AVERAGE(D262:D264)</f>
        <v>7.4999999999999956E-2</v>
      </c>
    </row>
    <row r="262" spans="1:4" x14ac:dyDescent="0.25">
      <c r="A262" s="1">
        <v>40237</v>
      </c>
      <c r="D262">
        <v>1.23</v>
      </c>
    </row>
    <row r="263" spans="1:4" x14ac:dyDescent="0.25">
      <c r="A263" s="1">
        <v>40219</v>
      </c>
      <c r="B263">
        <v>1.25</v>
      </c>
      <c r="C263" s="4">
        <f>AVERAGE(D264:D266)</f>
        <v>-0.88500000000000001</v>
      </c>
    </row>
    <row r="264" spans="1:4" x14ac:dyDescent="0.25">
      <c r="A264" s="1">
        <v>40209</v>
      </c>
      <c r="D264">
        <v>-1.08</v>
      </c>
    </row>
    <row r="265" spans="1:4" x14ac:dyDescent="0.25">
      <c r="A265" s="1">
        <v>40178</v>
      </c>
      <c r="D265">
        <v>-0.69</v>
      </c>
    </row>
    <row r="266" spans="1:4" x14ac:dyDescent="0.25">
      <c r="A266" s="1">
        <v>40171</v>
      </c>
      <c r="B266">
        <v>1.25</v>
      </c>
      <c r="C266" s="4">
        <f>AVERAGE(D267:D269)</f>
        <v>-0.84666666666666668</v>
      </c>
    </row>
    <row r="267" spans="1:4" x14ac:dyDescent="0.25">
      <c r="A267" s="1">
        <v>40147</v>
      </c>
      <c r="D267">
        <v>-0.8</v>
      </c>
    </row>
    <row r="268" spans="1:4" x14ac:dyDescent="0.25">
      <c r="A268" s="1">
        <v>40117</v>
      </c>
      <c r="D268">
        <v>-0.83</v>
      </c>
    </row>
    <row r="269" spans="1:4" x14ac:dyDescent="0.25">
      <c r="A269" s="1">
        <v>40086</v>
      </c>
      <c r="D269">
        <v>-0.91</v>
      </c>
    </row>
    <row r="270" spans="1:4" x14ac:dyDescent="0.25">
      <c r="A270" s="1">
        <v>40080</v>
      </c>
      <c r="B270">
        <v>1.25</v>
      </c>
      <c r="C270" s="4">
        <f>AVERAGE(D271:D273)</f>
        <v>-0.71</v>
      </c>
    </row>
    <row r="271" spans="1:4" x14ac:dyDescent="0.25">
      <c r="A271" s="1">
        <v>40056</v>
      </c>
      <c r="D271">
        <v>-0.74</v>
      </c>
    </row>
    <row r="272" spans="1:4" x14ac:dyDescent="0.25">
      <c r="A272" s="1">
        <v>40025</v>
      </c>
      <c r="D272">
        <v>-0.86</v>
      </c>
    </row>
    <row r="273" spans="1:4" x14ac:dyDescent="0.25">
      <c r="A273" s="1">
        <v>39994</v>
      </c>
      <c r="D273">
        <v>-0.53</v>
      </c>
    </row>
    <row r="274" spans="1:4" x14ac:dyDescent="0.25">
      <c r="A274" s="1">
        <v>39989</v>
      </c>
      <c r="B274">
        <v>1.25</v>
      </c>
      <c r="C274" s="4">
        <f>AVERAGE(D275:D277)</f>
        <v>0.35</v>
      </c>
    </row>
    <row r="275" spans="1:4" x14ac:dyDescent="0.25">
      <c r="A275" s="1">
        <v>39964</v>
      </c>
      <c r="D275">
        <v>0.2</v>
      </c>
    </row>
    <row r="276" spans="1:4" x14ac:dyDescent="0.25">
      <c r="A276" s="1">
        <v>39939</v>
      </c>
      <c r="B276">
        <v>1.25</v>
      </c>
      <c r="C276" s="4"/>
    </row>
    <row r="277" spans="1:4" x14ac:dyDescent="0.25">
      <c r="A277" s="1">
        <v>39933</v>
      </c>
      <c r="D277">
        <v>0.5</v>
      </c>
    </row>
    <row r="278" spans="1:4" x14ac:dyDescent="0.25">
      <c r="A278" s="1">
        <v>39903</v>
      </c>
      <c r="D278">
        <v>0.92</v>
      </c>
    </row>
    <row r="279" spans="1:4" x14ac:dyDescent="0.25">
      <c r="A279" s="1">
        <v>39898</v>
      </c>
      <c r="B279">
        <v>1.25</v>
      </c>
      <c r="C279" s="4">
        <f>AVERAGE(D280:D282)</f>
        <v>1.635</v>
      </c>
    </row>
    <row r="280" spans="1:4" x14ac:dyDescent="0.25">
      <c r="A280" s="1">
        <v>39872</v>
      </c>
      <c r="D280">
        <v>0.54</v>
      </c>
    </row>
    <row r="281" spans="1:4" x14ac:dyDescent="0.25">
      <c r="A281" s="1">
        <v>39862</v>
      </c>
      <c r="B281">
        <v>1.25</v>
      </c>
      <c r="C281" s="4">
        <f>AVERAGE(D282:D284)</f>
        <v>2.5249999999999999</v>
      </c>
    </row>
    <row r="282" spans="1:4" x14ac:dyDescent="0.25">
      <c r="A282" s="1">
        <v>39844</v>
      </c>
      <c r="D282">
        <v>2.73</v>
      </c>
    </row>
    <row r="283" spans="1:4" x14ac:dyDescent="0.25">
      <c r="A283" s="1">
        <v>39820</v>
      </c>
      <c r="B283">
        <v>1.5</v>
      </c>
      <c r="C283" s="4">
        <f>AVERAGE(D284:D285)</f>
        <v>2.3199999999999998</v>
      </c>
    </row>
    <row r="284" spans="1:4" x14ac:dyDescent="0.25">
      <c r="A284" s="1">
        <v>39813</v>
      </c>
      <c r="D284">
        <v>2.3199999999999998</v>
      </c>
    </row>
    <row r="285" spans="1:4" x14ac:dyDescent="0.25">
      <c r="A285" s="1">
        <v>39793</v>
      </c>
      <c r="B285">
        <v>2</v>
      </c>
      <c r="C285" s="4">
        <f>AVERAGE(D286:D287)</f>
        <v>2.67</v>
      </c>
    </row>
    <row r="286" spans="1:4" x14ac:dyDescent="0.25">
      <c r="A286" s="1">
        <v>39782</v>
      </c>
      <c r="D286">
        <v>2.67</v>
      </c>
    </row>
    <row r="287" spans="1:4" x14ac:dyDescent="0.25">
      <c r="A287" s="1">
        <v>39762</v>
      </c>
      <c r="B287">
        <v>2.75</v>
      </c>
    </row>
    <row r="288" spans="1:4" x14ac:dyDescent="0.25">
      <c r="A288" s="1">
        <v>39752</v>
      </c>
      <c r="D288">
        <v>3.16</v>
      </c>
    </row>
    <row r="289" spans="1:4" x14ac:dyDescent="0.25">
      <c r="A289" s="1">
        <v>39751</v>
      </c>
      <c r="B289">
        <v>3</v>
      </c>
    </row>
    <row r="290" spans="1:4" x14ac:dyDescent="0.25">
      <c r="A290" s="1">
        <v>39730</v>
      </c>
      <c r="B290">
        <v>3.25</v>
      </c>
    </row>
    <row r="291" spans="1:4" x14ac:dyDescent="0.25">
      <c r="A291" s="1">
        <v>39721</v>
      </c>
      <c r="D291">
        <v>3.53</v>
      </c>
    </row>
    <row r="292" spans="1:4" x14ac:dyDescent="0.25">
      <c r="A292" s="1">
        <v>39716</v>
      </c>
      <c r="B292">
        <v>3.5</v>
      </c>
    </row>
    <row r="293" spans="1:4" x14ac:dyDescent="0.25">
      <c r="A293" s="1">
        <v>39691</v>
      </c>
      <c r="D293">
        <v>3.99</v>
      </c>
    </row>
    <row r="294" spans="1:4" x14ac:dyDescent="0.25">
      <c r="A294" s="1">
        <v>39660</v>
      </c>
      <c r="D294">
        <v>4.29</v>
      </c>
    </row>
    <row r="295" spans="1:4" x14ac:dyDescent="0.25">
      <c r="A295" s="1">
        <v>39629</v>
      </c>
      <c r="D295">
        <v>3.91</v>
      </c>
    </row>
    <row r="296" spans="1:4" x14ac:dyDescent="0.25">
      <c r="A296" s="1">
        <v>39626</v>
      </c>
      <c r="B296">
        <v>3.625</v>
      </c>
    </row>
    <row r="297" spans="1:4" x14ac:dyDescent="0.25">
      <c r="A297" s="1">
        <v>39625</v>
      </c>
      <c r="B297">
        <v>3.625</v>
      </c>
    </row>
    <row r="298" spans="1:4" x14ac:dyDescent="0.25">
      <c r="A298" s="1">
        <v>39599</v>
      </c>
      <c r="D298">
        <v>3.4</v>
      </c>
    </row>
    <row r="299" spans="1:4" x14ac:dyDescent="0.25">
      <c r="A299" s="1">
        <v>39568</v>
      </c>
      <c r="D299">
        <v>3.28</v>
      </c>
    </row>
    <row r="300" spans="1:4" x14ac:dyDescent="0.25">
      <c r="A300" s="1">
        <v>39538</v>
      </c>
      <c r="D300">
        <v>3.18</v>
      </c>
    </row>
    <row r="301" spans="1:4" x14ac:dyDescent="0.25">
      <c r="A301" s="1">
        <v>39535</v>
      </c>
      <c r="B301">
        <v>3.5</v>
      </c>
    </row>
    <row r="302" spans="1:4" x14ac:dyDescent="0.25">
      <c r="A302" s="1">
        <v>39534</v>
      </c>
      <c r="B302">
        <v>3.5</v>
      </c>
    </row>
    <row r="303" spans="1:4" x14ac:dyDescent="0.25">
      <c r="A303" s="1">
        <v>39507</v>
      </c>
      <c r="D303">
        <v>2.7</v>
      </c>
    </row>
    <row r="304" spans="1:4" x14ac:dyDescent="0.25">
      <c r="A304" s="1">
        <v>39478</v>
      </c>
      <c r="D304">
        <v>2.73</v>
      </c>
    </row>
    <row r="305" spans="1:4" x14ac:dyDescent="0.25">
      <c r="A305" s="1">
        <v>39447</v>
      </c>
      <c r="D305">
        <v>2.62</v>
      </c>
    </row>
    <row r="306" spans="1:4" x14ac:dyDescent="0.25">
      <c r="A306" s="1">
        <v>39437</v>
      </c>
      <c r="B306">
        <v>3.375</v>
      </c>
    </row>
    <row r="307" spans="1:4" x14ac:dyDescent="0.25">
      <c r="A307" s="1">
        <v>39436</v>
      </c>
      <c r="B307">
        <v>3.375</v>
      </c>
    </row>
    <row r="308" spans="1:4" x14ac:dyDescent="0.25">
      <c r="A308" s="1">
        <v>39416</v>
      </c>
      <c r="D308">
        <v>2.46</v>
      </c>
    </row>
    <row r="309" spans="1:4" x14ac:dyDescent="0.25">
      <c r="A309" s="1">
        <v>39386</v>
      </c>
      <c r="D309">
        <v>2.35</v>
      </c>
    </row>
    <row r="310" spans="1:4" x14ac:dyDescent="0.25">
      <c r="A310" s="1">
        <v>39355</v>
      </c>
      <c r="D310">
        <v>2.0699999999999998</v>
      </c>
    </row>
    <row r="311" spans="1:4" x14ac:dyDescent="0.25">
      <c r="A311" s="1">
        <v>39346</v>
      </c>
      <c r="B311">
        <v>3.25</v>
      </c>
    </row>
    <row r="312" spans="1:4" x14ac:dyDescent="0.25">
      <c r="A312" s="1">
        <v>39325</v>
      </c>
      <c r="D312">
        <v>1.73</v>
      </c>
    </row>
    <row r="313" spans="1:4" x14ac:dyDescent="0.25">
      <c r="A313" s="1">
        <v>39294</v>
      </c>
      <c r="D313">
        <v>1.23</v>
      </c>
    </row>
    <row r="314" spans="1:4" x14ac:dyDescent="0.25">
      <c r="A314" s="1">
        <v>39263</v>
      </c>
      <c r="D314">
        <v>1.04</v>
      </c>
    </row>
    <row r="315" spans="1:4" x14ac:dyDescent="0.25">
      <c r="A315" s="1">
        <v>39255</v>
      </c>
      <c r="B315">
        <v>3.125</v>
      </c>
    </row>
    <row r="316" spans="1:4" x14ac:dyDescent="0.25">
      <c r="A316" s="1">
        <v>39233</v>
      </c>
      <c r="D316">
        <v>0.73</v>
      </c>
    </row>
    <row r="317" spans="1:4" x14ac:dyDescent="0.25">
      <c r="A317" s="1">
        <v>39202</v>
      </c>
      <c r="D317">
        <v>0.74</v>
      </c>
    </row>
    <row r="318" spans="1:4" x14ac:dyDescent="0.25">
      <c r="A318" s="1">
        <v>39172</v>
      </c>
      <c r="D318">
        <v>0.7</v>
      </c>
    </row>
    <row r="319" spans="1:4" x14ac:dyDescent="0.25">
      <c r="A319" s="1">
        <v>39171</v>
      </c>
      <c r="B319">
        <v>2.875</v>
      </c>
    </row>
    <row r="320" spans="1:4" x14ac:dyDescent="0.25">
      <c r="A320" s="1">
        <v>39141</v>
      </c>
      <c r="D320">
        <v>1.82</v>
      </c>
    </row>
    <row r="321" spans="1:4" x14ac:dyDescent="0.25">
      <c r="A321" s="1">
        <v>39113</v>
      </c>
      <c r="D321">
        <v>0</v>
      </c>
    </row>
    <row r="322" spans="1:4" x14ac:dyDescent="0.25">
      <c r="A322" s="1">
        <v>39082</v>
      </c>
      <c r="D322">
        <v>0.75</v>
      </c>
    </row>
    <row r="323" spans="1:4" x14ac:dyDescent="0.25">
      <c r="A323" s="1">
        <v>39080</v>
      </c>
      <c r="B323">
        <v>2.75</v>
      </c>
    </row>
    <row r="324" spans="1:4" x14ac:dyDescent="0.25">
      <c r="A324" s="1">
        <v>39051</v>
      </c>
      <c r="D324">
        <v>0.64</v>
      </c>
    </row>
    <row r="325" spans="1:4" x14ac:dyDescent="0.25">
      <c r="A325" s="1">
        <v>39021</v>
      </c>
      <c r="D325">
        <v>0.43</v>
      </c>
    </row>
    <row r="326" spans="1:4" x14ac:dyDescent="0.25">
      <c r="A326" s="1">
        <v>38990</v>
      </c>
      <c r="D326">
        <v>0.35</v>
      </c>
    </row>
    <row r="327" spans="1:4" x14ac:dyDescent="0.25">
      <c r="A327" s="1">
        <v>38989</v>
      </c>
      <c r="B327">
        <v>2.625</v>
      </c>
    </row>
    <row r="328" spans="1:4" x14ac:dyDescent="0.25">
      <c r="A328" s="1">
        <v>38960</v>
      </c>
      <c r="D328">
        <v>0.36</v>
      </c>
    </row>
    <row r="329" spans="1:4" x14ac:dyDescent="0.25">
      <c r="A329" s="1">
        <v>38929</v>
      </c>
      <c r="D329">
        <v>0.57999999999999996</v>
      </c>
    </row>
    <row r="330" spans="1:4" x14ac:dyDescent="0.25">
      <c r="A330" s="1">
        <v>38898</v>
      </c>
      <c r="B330">
        <v>2.5</v>
      </c>
      <c r="D330">
        <v>0.41</v>
      </c>
    </row>
    <row r="331" spans="1:4" x14ac:dyDescent="0.25">
      <c r="A331" s="1">
        <v>38868</v>
      </c>
      <c r="D331">
        <v>0.67</v>
      </c>
    </row>
    <row r="332" spans="1:4" x14ac:dyDescent="0.25">
      <c r="A332" s="1">
        <v>38837</v>
      </c>
      <c r="D332">
        <v>0.53</v>
      </c>
    </row>
    <row r="333" spans="1:4" x14ac:dyDescent="0.25">
      <c r="A333" s="1">
        <v>38807</v>
      </c>
      <c r="B333">
        <v>2.375</v>
      </c>
      <c r="D333">
        <v>0.54</v>
      </c>
    </row>
    <row r="334" spans="1:4" x14ac:dyDescent="0.25">
      <c r="A334" s="1">
        <v>38776</v>
      </c>
      <c r="D334">
        <v>-0.33</v>
      </c>
    </row>
    <row r="335" spans="1:4" x14ac:dyDescent="0.25">
      <c r="A335" s="1">
        <v>38748</v>
      </c>
      <c r="D335">
        <v>1.38</v>
      </c>
    </row>
    <row r="336" spans="1:4" x14ac:dyDescent="0.25">
      <c r="A336" s="1">
        <v>38717</v>
      </c>
      <c r="D336">
        <v>0.45</v>
      </c>
    </row>
    <row r="337" spans="1:4" x14ac:dyDescent="0.25">
      <c r="A337" s="1">
        <v>38709</v>
      </c>
      <c r="B337">
        <v>2.25</v>
      </c>
    </row>
    <row r="338" spans="1:4" x14ac:dyDescent="0.25">
      <c r="A338" s="1">
        <v>38686</v>
      </c>
      <c r="D338">
        <v>0.65</v>
      </c>
    </row>
    <row r="339" spans="1:4" x14ac:dyDescent="0.25">
      <c r="A339" s="1">
        <v>38656</v>
      </c>
      <c r="D339">
        <v>0.59</v>
      </c>
    </row>
    <row r="340" spans="1:4" x14ac:dyDescent="0.25">
      <c r="A340" s="1">
        <v>38625</v>
      </c>
      <c r="D340">
        <v>0.7</v>
      </c>
    </row>
    <row r="341" spans="1:4" x14ac:dyDescent="0.25">
      <c r="A341" s="1">
        <v>38611</v>
      </c>
      <c r="B341">
        <v>2.125</v>
      </c>
    </row>
    <row r="342" spans="1:4" x14ac:dyDescent="0.25">
      <c r="A342" s="1">
        <v>38595</v>
      </c>
      <c r="D342">
        <v>0.79</v>
      </c>
    </row>
    <row r="343" spans="1:4" x14ac:dyDescent="0.25">
      <c r="A343" s="1">
        <v>38564</v>
      </c>
      <c r="D343">
        <v>0.6</v>
      </c>
    </row>
    <row r="344" spans="1:4" x14ac:dyDescent="0.25">
      <c r="A344" s="1">
        <v>38534</v>
      </c>
      <c r="B344">
        <v>2</v>
      </c>
    </row>
    <row r="345" spans="1:4" x14ac:dyDescent="0.25">
      <c r="A345" s="1">
        <v>38533</v>
      </c>
      <c r="D345">
        <v>0.59</v>
      </c>
    </row>
    <row r="346" spans="1:4" x14ac:dyDescent="0.25">
      <c r="A346" s="1">
        <v>38503</v>
      </c>
      <c r="D346">
        <v>0.66</v>
      </c>
    </row>
    <row r="347" spans="1:4" x14ac:dyDescent="0.25">
      <c r="A347" s="1">
        <v>38472</v>
      </c>
      <c r="D347">
        <v>0.82</v>
      </c>
    </row>
    <row r="348" spans="1:4" x14ac:dyDescent="0.25">
      <c r="A348" s="1">
        <v>38442</v>
      </c>
      <c r="D348">
        <v>1.22</v>
      </c>
    </row>
    <row r="349" spans="1:4" x14ac:dyDescent="0.25">
      <c r="A349" s="1">
        <v>38436</v>
      </c>
      <c r="B349">
        <v>1.875</v>
      </c>
    </row>
    <row r="350" spans="1:4" x14ac:dyDescent="0.25">
      <c r="A350" s="1">
        <v>38411</v>
      </c>
      <c r="D350">
        <v>1.99</v>
      </c>
    </row>
    <row r="351" spans="1:4" x14ac:dyDescent="0.25">
      <c r="A351" s="1">
        <v>38383</v>
      </c>
      <c r="D351">
        <v>-0.19</v>
      </c>
    </row>
    <row r="352" spans="1:4" x14ac:dyDescent="0.25">
      <c r="A352" s="1">
        <v>38352</v>
      </c>
      <c r="B352">
        <v>1.75</v>
      </c>
      <c r="D352">
        <v>1.0900000000000001</v>
      </c>
    </row>
    <row r="353" spans="1:4" x14ac:dyDescent="0.25">
      <c r="A353" s="1">
        <v>38321</v>
      </c>
      <c r="D353">
        <v>0.88</v>
      </c>
    </row>
    <row r="354" spans="1:4" x14ac:dyDescent="0.25">
      <c r="A354" s="1">
        <v>38291</v>
      </c>
      <c r="D354">
        <v>1.05</v>
      </c>
    </row>
    <row r="355" spans="1:4" x14ac:dyDescent="0.25">
      <c r="A355" s="1">
        <v>38261</v>
      </c>
      <c r="B355">
        <v>1.625</v>
      </c>
    </row>
    <row r="356" spans="1:4" x14ac:dyDescent="0.25">
      <c r="A356" s="1">
        <v>38260</v>
      </c>
      <c r="D356">
        <v>1.06</v>
      </c>
    </row>
    <row r="357" spans="1:4" x14ac:dyDescent="0.25">
      <c r="A357" s="1">
        <v>38230</v>
      </c>
      <c r="D357">
        <v>1.1000000000000001</v>
      </c>
    </row>
    <row r="358" spans="1:4" x14ac:dyDescent="0.25">
      <c r="A358" s="1">
        <v>38199</v>
      </c>
      <c r="D358">
        <v>1.34</v>
      </c>
    </row>
    <row r="359" spans="1:4" x14ac:dyDescent="0.25">
      <c r="A359" s="1">
        <v>38168</v>
      </c>
      <c r="D359">
        <v>1.26</v>
      </c>
    </row>
    <row r="360" spans="1:4" x14ac:dyDescent="0.25">
      <c r="A360" s="1">
        <v>38163</v>
      </c>
      <c r="B360">
        <v>1.375</v>
      </c>
    </row>
    <row r="361" spans="1:4" x14ac:dyDescent="0.25">
      <c r="A361" s="1">
        <v>38138</v>
      </c>
      <c r="D361">
        <v>0.69</v>
      </c>
    </row>
    <row r="362" spans="1:4" x14ac:dyDescent="0.25">
      <c r="A362" s="1">
        <v>38107</v>
      </c>
      <c r="D362">
        <v>0.25</v>
      </c>
    </row>
    <row r="363" spans="1:4" x14ac:dyDescent="0.25">
      <c r="A363" s="1">
        <v>38077</v>
      </c>
      <c r="D363">
        <v>0.08</v>
      </c>
    </row>
    <row r="364" spans="1:4" x14ac:dyDescent="0.25">
      <c r="A364" s="1">
        <v>38075</v>
      </c>
      <c r="B364">
        <v>1.375</v>
      </c>
    </row>
    <row r="365" spans="1:4" x14ac:dyDescent="0.25">
      <c r="A365" s="1">
        <v>38046</v>
      </c>
      <c r="D365">
        <v>0.01</v>
      </c>
    </row>
    <row r="366" spans="1:4" x14ac:dyDescent="0.25">
      <c r="A366" s="1">
        <v>38017</v>
      </c>
      <c r="D366">
        <v>0.4</v>
      </c>
    </row>
    <row r="367" spans="1:4" x14ac:dyDescent="0.25">
      <c r="A367" s="1">
        <v>37986</v>
      </c>
      <c r="D367">
        <v>-0.32</v>
      </c>
    </row>
    <row r="368" spans="1:4" x14ac:dyDescent="0.25">
      <c r="A368" s="1">
        <v>37985</v>
      </c>
      <c r="B368">
        <v>1.375</v>
      </c>
    </row>
    <row r="369" spans="1:4" x14ac:dyDescent="0.25">
      <c r="A369" s="1">
        <v>37955</v>
      </c>
      <c r="D369">
        <v>-0.54</v>
      </c>
    </row>
    <row r="370" spans="1:4" x14ac:dyDescent="0.25">
      <c r="A370" s="1">
        <v>37925</v>
      </c>
      <c r="D370">
        <v>-0.68</v>
      </c>
    </row>
    <row r="371" spans="1:4" x14ac:dyDescent="0.25">
      <c r="A371" s="1">
        <v>37894</v>
      </c>
      <c r="D371">
        <v>-0.63</v>
      </c>
    </row>
    <row r="372" spans="1:4" x14ac:dyDescent="0.25">
      <c r="A372" s="1">
        <v>37890</v>
      </c>
      <c r="B372">
        <v>1.375</v>
      </c>
    </row>
    <row r="373" spans="1:4" x14ac:dyDescent="0.25">
      <c r="A373" s="1">
        <v>37864</v>
      </c>
      <c r="D373">
        <v>-0.48</v>
      </c>
    </row>
    <row r="374" spans="1:4" x14ac:dyDescent="0.25">
      <c r="A374" s="1">
        <v>37833</v>
      </c>
      <c r="D374">
        <v>-0.8</v>
      </c>
    </row>
    <row r="375" spans="1:4" x14ac:dyDescent="0.25">
      <c r="A375" s="1">
        <v>37802</v>
      </c>
      <c r="D375">
        <v>-0.91</v>
      </c>
    </row>
    <row r="376" spans="1:4" x14ac:dyDescent="0.25">
      <c r="A376" s="1">
        <v>37799</v>
      </c>
      <c r="B376">
        <v>1.375</v>
      </c>
    </row>
    <row r="377" spans="1:4" x14ac:dyDescent="0.25">
      <c r="A377" s="1">
        <v>37772</v>
      </c>
      <c r="D377">
        <v>-0.38</v>
      </c>
    </row>
    <row r="378" spans="1:4" x14ac:dyDescent="0.25">
      <c r="A378" s="1">
        <v>37741</v>
      </c>
      <c r="D378">
        <v>-0.18</v>
      </c>
    </row>
    <row r="379" spans="1:4" x14ac:dyDescent="0.25">
      <c r="A379" s="1">
        <v>37711</v>
      </c>
      <c r="D379">
        <v>-0.2</v>
      </c>
    </row>
    <row r="380" spans="1:4" x14ac:dyDescent="0.25">
      <c r="A380" s="1">
        <v>37701</v>
      </c>
      <c r="B380">
        <v>1.625</v>
      </c>
    </row>
    <row r="381" spans="1:4" x14ac:dyDescent="0.25">
      <c r="A381" s="1">
        <v>37680</v>
      </c>
      <c r="D381">
        <v>-1.82</v>
      </c>
    </row>
    <row r="382" spans="1:4" x14ac:dyDescent="0.25">
      <c r="A382" s="1">
        <v>37652</v>
      </c>
      <c r="D382">
        <v>0.34</v>
      </c>
    </row>
    <row r="383" spans="1:4" x14ac:dyDescent="0.25">
      <c r="A383" s="1">
        <v>37621</v>
      </c>
      <c r="D383">
        <v>0.74</v>
      </c>
    </row>
    <row r="384" spans="1:4" x14ac:dyDescent="0.25">
      <c r="A384" s="1">
        <v>37617</v>
      </c>
      <c r="B384">
        <v>1.625</v>
      </c>
    </row>
    <row r="385" spans="1:4" x14ac:dyDescent="0.25">
      <c r="A385" s="1">
        <v>37590</v>
      </c>
      <c r="D385">
        <v>0.74</v>
      </c>
    </row>
    <row r="386" spans="1:4" x14ac:dyDescent="0.25">
      <c r="A386" s="1">
        <v>37572</v>
      </c>
      <c r="B386">
        <v>1.625</v>
      </c>
    </row>
    <row r="387" spans="1:4" x14ac:dyDescent="0.25">
      <c r="A387" s="1">
        <v>37560</v>
      </c>
      <c r="D387">
        <v>0.77</v>
      </c>
    </row>
    <row r="388" spans="1:4" x14ac:dyDescent="0.25">
      <c r="A388" s="1">
        <v>37529</v>
      </c>
      <c r="D388">
        <v>1.01</v>
      </c>
    </row>
    <row r="389" spans="1:4" x14ac:dyDescent="0.25">
      <c r="A389" s="1">
        <v>37523</v>
      </c>
      <c r="B389">
        <v>1.875</v>
      </c>
    </row>
    <row r="390" spans="1:4" x14ac:dyDescent="0.25">
      <c r="A390" s="1">
        <v>37499</v>
      </c>
      <c r="D390">
        <v>0.57999999999999996</v>
      </c>
    </row>
    <row r="391" spans="1:4" x14ac:dyDescent="0.25">
      <c r="A391" s="1">
        <v>37468</v>
      </c>
      <c r="D391">
        <v>0.72</v>
      </c>
    </row>
    <row r="392" spans="1:4" x14ac:dyDescent="0.25">
      <c r="A392" s="1">
        <v>37437</v>
      </c>
      <c r="D392">
        <v>0.86</v>
      </c>
    </row>
    <row r="393" spans="1:4" x14ac:dyDescent="0.25">
      <c r="A393" s="1">
        <v>37435</v>
      </c>
      <c r="B393">
        <v>1.875</v>
      </c>
    </row>
    <row r="394" spans="1:4" x14ac:dyDescent="0.25">
      <c r="A394" s="1">
        <v>37407</v>
      </c>
      <c r="D394">
        <v>0.52</v>
      </c>
    </row>
    <row r="395" spans="1:4" x14ac:dyDescent="0.25">
      <c r="A395" s="1">
        <v>37376</v>
      </c>
      <c r="D395">
        <v>0.59</v>
      </c>
    </row>
    <row r="396" spans="1:4" x14ac:dyDescent="0.25">
      <c r="A396" s="1">
        <v>37346</v>
      </c>
      <c r="D396">
        <v>0.28999999999999998</v>
      </c>
    </row>
    <row r="397" spans="1:4" x14ac:dyDescent="0.25">
      <c r="A397" s="1">
        <v>37344</v>
      </c>
      <c r="B397">
        <v>2.125</v>
      </c>
    </row>
    <row r="398" spans="1:4" x14ac:dyDescent="0.25">
      <c r="A398" s="1">
        <v>37315</v>
      </c>
      <c r="D398">
        <v>2.08</v>
      </c>
    </row>
    <row r="399" spans="1:4" x14ac:dyDescent="0.25">
      <c r="A399" s="1">
        <v>37287</v>
      </c>
      <c r="D399">
        <v>-0.97</v>
      </c>
    </row>
    <row r="400" spans="1:4" x14ac:dyDescent="0.25">
      <c r="A400" s="1">
        <v>37256</v>
      </c>
      <c r="D400">
        <v>-0.66</v>
      </c>
    </row>
    <row r="401" spans="1:4" x14ac:dyDescent="0.25">
      <c r="A401" s="1">
        <v>37253</v>
      </c>
      <c r="B401">
        <v>2.125</v>
      </c>
    </row>
    <row r="402" spans="1:4" x14ac:dyDescent="0.25">
      <c r="A402" s="1">
        <v>37225</v>
      </c>
      <c r="D402">
        <v>-0.61</v>
      </c>
    </row>
    <row r="403" spans="1:4" x14ac:dyDescent="0.25">
      <c r="A403" s="1">
        <v>37203</v>
      </c>
      <c r="B403">
        <v>2.25</v>
      </c>
    </row>
    <row r="404" spans="1:4" x14ac:dyDescent="0.25">
      <c r="A404" s="1">
        <v>37195</v>
      </c>
      <c r="D404">
        <v>-0.54</v>
      </c>
    </row>
    <row r="405" spans="1:4" x14ac:dyDescent="0.25">
      <c r="A405" s="1">
        <v>37168</v>
      </c>
      <c r="B405">
        <v>2.5</v>
      </c>
    </row>
    <row r="406" spans="1:4" x14ac:dyDescent="0.25">
      <c r="A406" s="1">
        <v>37164</v>
      </c>
      <c r="D406">
        <v>-0.85</v>
      </c>
    </row>
    <row r="407" spans="1:4" x14ac:dyDescent="0.25">
      <c r="A407" s="1">
        <v>37153</v>
      </c>
      <c r="B407">
        <v>2.75</v>
      </c>
    </row>
    <row r="408" spans="1:4" x14ac:dyDescent="0.25">
      <c r="A408" s="1">
        <v>37134</v>
      </c>
      <c r="D408">
        <v>-0.02</v>
      </c>
    </row>
    <row r="409" spans="1:4" x14ac:dyDescent="0.25">
      <c r="A409" s="1">
        <v>37123</v>
      </c>
      <c r="B409">
        <v>3.25</v>
      </c>
    </row>
    <row r="410" spans="1:4" x14ac:dyDescent="0.25">
      <c r="A410" s="1">
        <v>37103</v>
      </c>
      <c r="D410">
        <v>-0.1</v>
      </c>
    </row>
    <row r="411" spans="1:4" x14ac:dyDescent="0.25">
      <c r="A411" s="1">
        <v>37072</v>
      </c>
      <c r="D411">
        <v>-0.28000000000000003</v>
      </c>
    </row>
    <row r="412" spans="1:4" x14ac:dyDescent="0.25">
      <c r="A412" s="1">
        <v>37071</v>
      </c>
      <c r="B412">
        <v>3.5</v>
      </c>
    </row>
    <row r="413" spans="1:4" x14ac:dyDescent="0.25">
      <c r="A413" s="1">
        <v>37042</v>
      </c>
      <c r="D413">
        <v>0.2</v>
      </c>
    </row>
    <row r="414" spans="1:4" x14ac:dyDescent="0.25">
      <c r="A414" s="1">
        <v>37029</v>
      </c>
      <c r="B414">
        <v>3.75</v>
      </c>
    </row>
    <row r="415" spans="1:4" x14ac:dyDescent="0.25">
      <c r="A415" s="1">
        <v>37011</v>
      </c>
      <c r="D415">
        <v>0.34</v>
      </c>
    </row>
    <row r="416" spans="1:4" x14ac:dyDescent="0.25">
      <c r="A416" s="1">
        <v>37004</v>
      </c>
      <c r="B416">
        <v>4</v>
      </c>
    </row>
    <row r="417" spans="1:4" x14ac:dyDescent="0.25">
      <c r="A417" s="1">
        <v>36981</v>
      </c>
      <c r="D417">
        <v>0.61</v>
      </c>
    </row>
    <row r="418" spans="1:4" x14ac:dyDescent="0.25">
      <c r="A418" s="1">
        <v>36980</v>
      </c>
      <c r="B418">
        <v>4.125</v>
      </c>
    </row>
    <row r="419" spans="1:4" x14ac:dyDescent="0.25">
      <c r="A419" s="1">
        <v>36956</v>
      </c>
      <c r="B419">
        <v>4.25</v>
      </c>
    </row>
    <row r="420" spans="1:4" x14ac:dyDescent="0.25">
      <c r="A420" s="1">
        <v>36950</v>
      </c>
      <c r="D420">
        <v>-0.97</v>
      </c>
    </row>
    <row r="421" spans="1:4" x14ac:dyDescent="0.25">
      <c r="A421" s="1">
        <v>36924</v>
      </c>
      <c r="B421">
        <v>4.375</v>
      </c>
    </row>
    <row r="422" spans="1:4" x14ac:dyDescent="0.25">
      <c r="A422" s="1">
        <v>36922</v>
      </c>
      <c r="D422">
        <v>2.21</v>
      </c>
    </row>
    <row r="423" spans="1:4" x14ac:dyDescent="0.25">
      <c r="A423" s="1">
        <v>36893</v>
      </c>
      <c r="B423">
        <v>4.625</v>
      </c>
    </row>
    <row r="424" spans="1:4" x14ac:dyDescent="0.25">
      <c r="A424" s="1">
        <v>36891</v>
      </c>
      <c r="D424">
        <v>0.74</v>
      </c>
    </row>
    <row r="425" spans="1:4" x14ac:dyDescent="0.25">
      <c r="A425" s="1">
        <v>36889</v>
      </c>
      <c r="B425">
        <v>4.625</v>
      </c>
    </row>
    <row r="426" spans="1:4" x14ac:dyDescent="0.25">
      <c r="A426" s="1">
        <v>36888</v>
      </c>
      <c r="B426">
        <v>4.625</v>
      </c>
    </row>
    <row r="427" spans="1:4" x14ac:dyDescent="0.25">
      <c r="A427" s="1">
        <v>36887</v>
      </c>
      <c r="B427">
        <v>4.75</v>
      </c>
    </row>
    <row r="428" spans="1:4" x14ac:dyDescent="0.25">
      <c r="A428" s="1">
        <v>36886</v>
      </c>
      <c r="B428">
        <v>4.75</v>
      </c>
    </row>
    <row r="429" spans="1:4" x14ac:dyDescent="0.25">
      <c r="A429" s="1">
        <v>36882</v>
      </c>
      <c r="B429">
        <v>4.75</v>
      </c>
    </row>
    <row r="430" spans="1:4" x14ac:dyDescent="0.25">
      <c r="A430" s="1">
        <v>36881</v>
      </c>
      <c r="B430">
        <v>4.75</v>
      </c>
    </row>
    <row r="431" spans="1:4" x14ac:dyDescent="0.25">
      <c r="A431" s="1">
        <v>36880</v>
      </c>
      <c r="B431">
        <v>4.75</v>
      </c>
    </row>
    <row r="432" spans="1:4" x14ac:dyDescent="0.25">
      <c r="A432" s="1">
        <v>36879</v>
      </c>
      <c r="B432">
        <v>4.75</v>
      </c>
    </row>
    <row r="433" spans="1:4" x14ac:dyDescent="0.25">
      <c r="A433" s="1">
        <v>36878</v>
      </c>
      <c r="B433">
        <v>4.75</v>
      </c>
    </row>
    <row r="434" spans="1:4" x14ac:dyDescent="0.25">
      <c r="A434" s="1">
        <v>36875</v>
      </c>
      <c r="B434">
        <v>4.75</v>
      </c>
    </row>
    <row r="435" spans="1:4" x14ac:dyDescent="0.25">
      <c r="A435" s="1">
        <v>36874</v>
      </c>
      <c r="B435">
        <v>4.75</v>
      </c>
    </row>
    <row r="436" spans="1:4" x14ac:dyDescent="0.25">
      <c r="A436" s="1">
        <v>36873</v>
      </c>
      <c r="B436">
        <v>4.75</v>
      </c>
    </row>
    <row r="437" spans="1:4" x14ac:dyDescent="0.25">
      <c r="A437" s="1">
        <v>36872</v>
      </c>
      <c r="B437">
        <v>4.75</v>
      </c>
    </row>
    <row r="438" spans="1:4" x14ac:dyDescent="0.25">
      <c r="A438" s="1">
        <v>36871</v>
      </c>
      <c r="B438">
        <v>4.75</v>
      </c>
    </row>
    <row r="439" spans="1:4" x14ac:dyDescent="0.25">
      <c r="A439" s="1">
        <v>36868</v>
      </c>
      <c r="B439">
        <v>4.75</v>
      </c>
    </row>
    <row r="440" spans="1:4" x14ac:dyDescent="0.25">
      <c r="A440" s="1">
        <v>36867</v>
      </c>
      <c r="B440">
        <v>4.75</v>
      </c>
    </row>
    <row r="441" spans="1:4" x14ac:dyDescent="0.25">
      <c r="A441" s="1">
        <v>36866</v>
      </c>
      <c r="B441">
        <v>4.75</v>
      </c>
    </row>
    <row r="442" spans="1:4" x14ac:dyDescent="0.25">
      <c r="A442" s="1">
        <v>36865</v>
      </c>
      <c r="B442">
        <v>4.75</v>
      </c>
    </row>
    <row r="443" spans="1:4" x14ac:dyDescent="0.25">
      <c r="A443" s="1">
        <v>36864</v>
      </c>
      <c r="B443">
        <v>4.75</v>
      </c>
    </row>
    <row r="444" spans="1:4" x14ac:dyDescent="0.25">
      <c r="A444" s="1">
        <v>36861</v>
      </c>
      <c r="B444">
        <v>4.75</v>
      </c>
    </row>
    <row r="445" spans="1:4" x14ac:dyDescent="0.25">
      <c r="A445" s="1">
        <v>36860</v>
      </c>
      <c r="D445">
        <v>0.79</v>
      </c>
    </row>
    <row r="446" spans="1:4" x14ac:dyDescent="0.25">
      <c r="A446" s="1">
        <v>36859</v>
      </c>
      <c r="B446">
        <v>4.75</v>
      </c>
    </row>
    <row r="447" spans="1:4" x14ac:dyDescent="0.25">
      <c r="A447" s="1">
        <v>36858</v>
      </c>
      <c r="B447">
        <v>4.75</v>
      </c>
    </row>
    <row r="448" spans="1:4" x14ac:dyDescent="0.25">
      <c r="A448" s="1">
        <v>36857</v>
      </c>
      <c r="B448">
        <v>4.75</v>
      </c>
    </row>
    <row r="449" spans="1:2" x14ac:dyDescent="0.25">
      <c r="A449" s="1">
        <v>36854</v>
      </c>
      <c r="B449">
        <v>4.75</v>
      </c>
    </row>
    <row r="450" spans="1:2" x14ac:dyDescent="0.25">
      <c r="A450" s="1">
        <v>36853</v>
      </c>
      <c r="B450">
        <v>4.75</v>
      </c>
    </row>
    <row r="451" spans="1:2" x14ac:dyDescent="0.25">
      <c r="A451" s="1">
        <v>36852</v>
      </c>
      <c r="B451">
        <v>4.75</v>
      </c>
    </row>
    <row r="452" spans="1:2" x14ac:dyDescent="0.25">
      <c r="A452" s="1">
        <v>36851</v>
      </c>
      <c r="B452">
        <v>4.75</v>
      </c>
    </row>
    <row r="453" spans="1:2" x14ac:dyDescent="0.25">
      <c r="A453" s="1">
        <v>36850</v>
      </c>
      <c r="B453">
        <v>4.75</v>
      </c>
    </row>
    <row r="454" spans="1:2" x14ac:dyDescent="0.25">
      <c r="A454" s="1">
        <v>36847</v>
      </c>
      <c r="B454">
        <v>4.75</v>
      </c>
    </row>
    <row r="455" spans="1:2" x14ac:dyDescent="0.25">
      <c r="A455" s="1">
        <v>36846</v>
      </c>
      <c r="B455">
        <v>4.75</v>
      </c>
    </row>
    <row r="456" spans="1:2" x14ac:dyDescent="0.25">
      <c r="A456" s="1">
        <v>36845</v>
      </c>
      <c r="B456">
        <v>4.75</v>
      </c>
    </row>
    <row r="457" spans="1:2" x14ac:dyDescent="0.25">
      <c r="A457" s="1">
        <v>36844</v>
      </c>
      <c r="B457">
        <v>4.75</v>
      </c>
    </row>
    <row r="458" spans="1:2" x14ac:dyDescent="0.25">
      <c r="A458" s="1">
        <v>36843</v>
      </c>
      <c r="B458">
        <v>4.75</v>
      </c>
    </row>
    <row r="459" spans="1:2" x14ac:dyDescent="0.25">
      <c r="A459" s="1">
        <v>36840</v>
      </c>
      <c r="B459">
        <v>4.75</v>
      </c>
    </row>
    <row r="460" spans="1:2" x14ac:dyDescent="0.25">
      <c r="A460" s="1">
        <v>36839</v>
      </c>
      <c r="B460">
        <v>4.75</v>
      </c>
    </row>
    <row r="461" spans="1:2" x14ac:dyDescent="0.25">
      <c r="A461" s="1">
        <v>36838</v>
      </c>
      <c r="B461">
        <v>4.75</v>
      </c>
    </row>
    <row r="462" spans="1:2" x14ac:dyDescent="0.25">
      <c r="A462" s="1">
        <v>36837</v>
      </c>
      <c r="B462">
        <v>4.75</v>
      </c>
    </row>
    <row r="463" spans="1:2" x14ac:dyDescent="0.25">
      <c r="A463" s="1">
        <v>36836</v>
      </c>
      <c r="B463">
        <v>4.75</v>
      </c>
    </row>
    <row r="464" spans="1:2" x14ac:dyDescent="0.25">
      <c r="A464" s="1">
        <v>36833</v>
      </c>
      <c r="B464">
        <v>4.75</v>
      </c>
    </row>
    <row r="465" spans="1:4" x14ac:dyDescent="0.25">
      <c r="A465" s="1">
        <v>36832</v>
      </c>
      <c r="B465">
        <v>4.75</v>
      </c>
    </row>
    <row r="466" spans="1:4" x14ac:dyDescent="0.25">
      <c r="A466" s="1">
        <v>36831</v>
      </c>
      <c r="B466">
        <v>4.75</v>
      </c>
    </row>
    <row r="467" spans="1:4" x14ac:dyDescent="0.25">
      <c r="A467" s="1">
        <v>36830</v>
      </c>
      <c r="D467">
        <v>0.79</v>
      </c>
    </row>
    <row r="468" spans="1:4" x14ac:dyDescent="0.25">
      <c r="A468" s="1">
        <v>36829</v>
      </c>
      <c r="B468">
        <v>4.75</v>
      </c>
    </row>
    <row r="469" spans="1:4" x14ac:dyDescent="0.25">
      <c r="A469" s="1">
        <v>36826</v>
      </c>
      <c r="B469">
        <v>4.75</v>
      </c>
    </row>
    <row r="470" spans="1:4" x14ac:dyDescent="0.25">
      <c r="A470" s="1">
        <v>36825</v>
      </c>
      <c r="B470">
        <v>4.75</v>
      </c>
    </row>
    <row r="471" spans="1:4" x14ac:dyDescent="0.25">
      <c r="A471" s="1">
        <v>36824</v>
      </c>
      <c r="B471">
        <v>4.75</v>
      </c>
    </row>
    <row r="472" spans="1:4" x14ac:dyDescent="0.25">
      <c r="A472" s="1">
        <v>36823</v>
      </c>
      <c r="B472">
        <v>4.75</v>
      </c>
    </row>
    <row r="473" spans="1:4" x14ac:dyDescent="0.25">
      <c r="A473" s="1">
        <v>36822</v>
      </c>
      <c r="B473">
        <v>4.75</v>
      </c>
    </row>
    <row r="474" spans="1:4" x14ac:dyDescent="0.25">
      <c r="A474" s="1">
        <v>36819</v>
      </c>
      <c r="B474">
        <v>4.75</v>
      </c>
    </row>
    <row r="475" spans="1:4" x14ac:dyDescent="0.25">
      <c r="A475" s="1">
        <v>36818</v>
      </c>
      <c r="B475">
        <v>4.75</v>
      </c>
    </row>
    <row r="476" spans="1:4" x14ac:dyDescent="0.25">
      <c r="A476" s="1">
        <v>36817</v>
      </c>
      <c r="B476">
        <v>4.75</v>
      </c>
    </row>
    <row r="477" spans="1:4" x14ac:dyDescent="0.25">
      <c r="A477" s="1">
        <v>36816</v>
      </c>
      <c r="B477">
        <v>4.75</v>
      </c>
    </row>
    <row r="478" spans="1:4" x14ac:dyDescent="0.25">
      <c r="A478" s="1">
        <v>36815</v>
      </c>
      <c r="B478">
        <v>4.75</v>
      </c>
    </row>
    <row r="479" spans="1:4" x14ac:dyDescent="0.25">
      <c r="A479" s="1">
        <v>36812</v>
      </c>
      <c r="B479">
        <v>4.75</v>
      </c>
    </row>
    <row r="480" spans="1:4" x14ac:dyDescent="0.25">
      <c r="A480" s="1">
        <v>36811</v>
      </c>
      <c r="B480">
        <v>4.75</v>
      </c>
    </row>
    <row r="481" spans="1:4" x14ac:dyDescent="0.25">
      <c r="A481" s="1">
        <v>36810</v>
      </c>
      <c r="B481">
        <v>4.75</v>
      </c>
    </row>
    <row r="482" spans="1:4" x14ac:dyDescent="0.25">
      <c r="A482" s="1">
        <v>36808</v>
      </c>
      <c r="B482">
        <v>4.75</v>
      </c>
    </row>
    <row r="483" spans="1:4" x14ac:dyDescent="0.25">
      <c r="A483" s="1">
        <v>36805</v>
      </c>
      <c r="B483">
        <v>4.75</v>
      </c>
    </row>
    <row r="484" spans="1:4" x14ac:dyDescent="0.25">
      <c r="A484" s="1">
        <v>36804</v>
      </c>
      <c r="B484">
        <v>4.75</v>
      </c>
    </row>
    <row r="485" spans="1:4" x14ac:dyDescent="0.25">
      <c r="A485" s="1">
        <v>36803</v>
      </c>
      <c r="B485">
        <v>4.75</v>
      </c>
    </row>
    <row r="486" spans="1:4" x14ac:dyDescent="0.25">
      <c r="A486" s="1">
        <v>36802</v>
      </c>
      <c r="B486">
        <v>4.75</v>
      </c>
    </row>
    <row r="487" spans="1:4" x14ac:dyDescent="0.25">
      <c r="A487" s="1">
        <v>36801</v>
      </c>
      <c r="B487">
        <v>4.75</v>
      </c>
    </row>
    <row r="488" spans="1:4" x14ac:dyDescent="0.25">
      <c r="A488" s="1">
        <v>36799</v>
      </c>
      <c r="D488">
        <v>0.85</v>
      </c>
    </row>
    <row r="489" spans="1:4" x14ac:dyDescent="0.25">
      <c r="A489" s="1">
        <v>36798</v>
      </c>
      <c r="B489">
        <v>4.75</v>
      </c>
    </row>
    <row r="490" spans="1:4" x14ac:dyDescent="0.25">
      <c r="A490" s="1">
        <v>36797</v>
      </c>
      <c r="B490">
        <v>4.75</v>
      </c>
    </row>
    <row r="491" spans="1:4" x14ac:dyDescent="0.25">
      <c r="A491" s="1">
        <v>36796</v>
      </c>
      <c r="B491">
        <v>4.75</v>
      </c>
    </row>
    <row r="492" spans="1:4" x14ac:dyDescent="0.25">
      <c r="A492" s="1">
        <v>36795</v>
      </c>
      <c r="B492">
        <v>4.75</v>
      </c>
    </row>
    <row r="493" spans="1:4" x14ac:dyDescent="0.25">
      <c r="A493" s="1">
        <v>36794</v>
      </c>
      <c r="B493">
        <v>4.75</v>
      </c>
    </row>
    <row r="494" spans="1:4" x14ac:dyDescent="0.25">
      <c r="A494" s="1">
        <v>36791</v>
      </c>
      <c r="B494">
        <v>4.75</v>
      </c>
    </row>
    <row r="495" spans="1:4" x14ac:dyDescent="0.25">
      <c r="A495" s="1">
        <v>36790</v>
      </c>
      <c r="B495">
        <v>4.75</v>
      </c>
    </row>
    <row r="496" spans="1:4" x14ac:dyDescent="0.25">
      <c r="A496" s="1">
        <v>36789</v>
      </c>
      <c r="B496">
        <v>4.75</v>
      </c>
    </row>
    <row r="497" spans="1:4" x14ac:dyDescent="0.25">
      <c r="A497" s="1">
        <v>36788</v>
      </c>
      <c r="B497">
        <v>4.75</v>
      </c>
    </row>
    <row r="498" spans="1:4" x14ac:dyDescent="0.25">
      <c r="A498" s="1">
        <v>36787</v>
      </c>
      <c r="B498">
        <v>4.75</v>
      </c>
    </row>
    <row r="499" spans="1:4" x14ac:dyDescent="0.25">
      <c r="A499" s="1">
        <v>36784</v>
      </c>
      <c r="B499">
        <v>4.75</v>
      </c>
    </row>
    <row r="500" spans="1:4" x14ac:dyDescent="0.25">
      <c r="A500" s="1">
        <v>36783</v>
      </c>
      <c r="B500">
        <v>4.75</v>
      </c>
    </row>
    <row r="501" spans="1:4" x14ac:dyDescent="0.25">
      <c r="A501" s="1">
        <v>36782</v>
      </c>
      <c r="B501">
        <v>4.75</v>
      </c>
    </row>
    <row r="502" spans="1:4" x14ac:dyDescent="0.25">
      <c r="A502" s="1">
        <v>36780</v>
      </c>
      <c r="B502">
        <v>4.75</v>
      </c>
    </row>
    <row r="503" spans="1:4" x14ac:dyDescent="0.25">
      <c r="A503" s="1">
        <v>36777</v>
      </c>
      <c r="B503">
        <v>4.75</v>
      </c>
    </row>
    <row r="504" spans="1:4" x14ac:dyDescent="0.25">
      <c r="A504" s="1">
        <v>36776</v>
      </c>
      <c r="B504">
        <v>4.75</v>
      </c>
    </row>
    <row r="505" spans="1:4" x14ac:dyDescent="0.25">
      <c r="A505" s="1">
        <v>36775</v>
      </c>
      <c r="B505">
        <v>4.75</v>
      </c>
    </row>
    <row r="506" spans="1:4" x14ac:dyDescent="0.25">
      <c r="A506" s="1">
        <v>36774</v>
      </c>
      <c r="B506">
        <v>4.75</v>
      </c>
    </row>
    <row r="507" spans="1:4" x14ac:dyDescent="0.25">
      <c r="A507" s="1">
        <v>36773</v>
      </c>
      <c r="B507">
        <v>4.75</v>
      </c>
    </row>
    <row r="508" spans="1:4" x14ac:dyDescent="0.25">
      <c r="A508" s="1">
        <v>36770</v>
      </c>
      <c r="B508">
        <v>4.75</v>
      </c>
    </row>
    <row r="509" spans="1:4" x14ac:dyDescent="0.25">
      <c r="A509" s="1">
        <v>36769</v>
      </c>
      <c r="D509">
        <v>0.46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基準利率</vt:lpstr>
      <vt:lpstr>實質GDP YoY%</vt:lpstr>
      <vt:lpstr>Core CPI YoY%</vt:lpstr>
      <vt:lpstr>Quarterly Core CPI YoY%</vt:lpstr>
      <vt:lpstr>Taiwan Money Supply M2 YoY%</vt:lpstr>
      <vt:lpstr>Q - TW Money Supply M2 YoY% </vt:lpstr>
      <vt:lpstr>Formosa Housing Loan</vt:lpstr>
      <vt:lpstr>Formosa Housing Loan - Q </vt:lpstr>
      <vt:lpstr>Import Index</vt:lpstr>
      <vt:lpstr>實質利率 - Not Finish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T328.yic</dc:creator>
  <cp:lastModifiedBy>T328.yic</cp:lastModifiedBy>
  <dcterms:created xsi:type="dcterms:W3CDTF">2015-06-05T18:19:34Z</dcterms:created>
  <dcterms:modified xsi:type="dcterms:W3CDTF">2026-08-31T03:16:48Z</dcterms:modified>
</cp:coreProperties>
</file>